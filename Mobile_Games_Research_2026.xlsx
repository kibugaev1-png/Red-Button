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Резюме" sheetId="1" state="visible" r:id="rId1"/>
    <sheet name="02_Топ_выручка" sheetId="2" state="visible" r:id="rId2"/>
    <sheet name="03_Топ_загрузки" sheetId="3" state="visible" r:id="rId3"/>
    <sheet name="04_Референсы" sheetId="4" state="visible" r:id="rId4"/>
    <sheet name="05_Скоринг" sheetId="5" state="visible" r:id="rId5"/>
    <sheet name="06_Источники" sheetId="6" state="visible" r:id="rId6"/>
  </sheets>
  <definedNames>
    <definedName name="_xlnm._FilterDatabase" localSheetId="1" hidden="1">'02_Топ_выручка'!$A$3:$J$13</definedName>
    <definedName name="_xlnm._FilterDatabase" localSheetId="2" hidden="1">'03_Топ_загрузки'!$A$3:$H$11</definedName>
    <definedName name="_xlnm._FilterDatabase" localSheetId="3" hidden="1">'04_Референсы'!$A$3:$L$25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F3864"/>
      <sz val="11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F2F5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6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9" fontId="6" fillId="0" borderId="1" pivotButton="0" quotePrefix="0" xfId="0"/>
    <xf numFmtId="164" fontId="5" fillId="0" borderId="1" pivotButton="0" quotePrefix="0" xfId="0"/>
    <xf numFmtId="0" fontId="7" fillId="4" borderId="1" pivotButton="0" quotePrefix="0" xfId="0"/>
    <xf numFmtId="3" fontId="7" fillId="4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vertical="top" wrapText="1"/>
    </xf>
    <xf numFmtId="0" fontId="7" fillId="0" borderId="1" pivotButton="0" quotePrefix="0" xfId="0"/>
    <xf numFmtId="0" fontId="2" fillId="0" borderId="0" pivotButton="0" quotePrefix="0" xfId="0"/>
    <xf numFmtId="3" fontId="6" fillId="0" borderId="1" applyAlignment="1" pivotButton="0" quotePrefix="0" xfId="0">
      <alignment horizontal="right" vertical="top"/>
    </xf>
    <xf numFmtId="3" fontId="5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vertical="top" wrapText="1"/>
    </xf>
    <xf numFmtId="3" fontId="6" fillId="5" borderId="1" applyAlignment="1" pivotButton="0" quotePrefix="0" xfId="0">
      <alignment horizontal="right" vertical="top"/>
    </xf>
    <xf numFmtId="3" fontId="5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165" fontId="7" fillId="4" borderId="1" pivotButton="0" quotePrefix="0" xfId="0"/>
    <xf numFmtId="0" fontId="7" fillId="0" borderId="0" pivotButton="0" quotePrefix="0" xfId="0"/>
    <xf numFmtId="0" fontId="5" fillId="0" borderId="0" pivotButton="0" quotePrefix="0" xfId="0"/>
    <xf numFmtId="9" fontId="6" fillId="6" borderId="0" pivotButton="0" quotePrefix="0" xfId="0"/>
    <xf numFmtId="0" fontId="7" fillId="0" borderId="0" applyAlignment="1" pivotButton="0" quotePrefix="0" xfId="0">
      <alignment horizontal="right"/>
    </xf>
    <xf numFmtId="1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9" fontId="7" fillId="0" borderId="0" pivotButton="0" quotePrefix="0" xfId="0"/>
    <xf numFmtId="0" fontId="8" fillId="0" borderId="1" pivotButton="0" quotePrefix="0" xfId="0"/>
    <xf numFmtId="1" fontId="6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8" fillId="5" borderId="1" pivotButton="0" quotePrefix="0" xfId="0"/>
    <xf numFmtId="1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Research</author>
  </authors>
  <commentList>
    <comment ref="B8" authorId="0" shapeId="0">
      <text>
        <t>Источник: Sensor Tower, прогноз 2026 — топ-100 игр ≈ 58% всей выручки мобильных игр.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mobilegamer.biz/2026s-top-10-grossing-mobile-games-so-far-honor-of-kings-whiteout-survival-lastwar-royal-match-pubg-mobile-more/" TargetMode="External" Id="rId1" /><Relationship Type="http://schemas.openxmlformats.org/officeDocument/2006/relationships/hyperlink" Target="https://sensortower.com/blog/top-10-worldwide-mobile-games-by-revenue-and-downloads-in-june-2026" TargetMode="External" Id="rId2" /><Relationship Type="http://schemas.openxmlformats.org/officeDocument/2006/relationships/hyperlink" Target="https://sensortower.com/blog/top-10-worldwide-mobile-games-by-revenue-and-downloads-in-january-2026" TargetMode="External" Id="rId3" /><Relationship Type="http://schemas.openxmlformats.org/officeDocument/2006/relationships/hyperlink" Target="https://www.digitaltoday.co.kr/en/view/55387/sensortower-top-100-mobile-games-forecast-53-billion-dollars-revenue-this-year" TargetMode="External" Id="rId4" /><Relationship Type="http://schemas.openxmlformats.org/officeDocument/2006/relationships/hyperlink" Target="https://www.pocketgamer.biz/whiteout-survival-hits-3bn-in-player-spending-in-under-25-years/" TargetMode="External" Id="rId5" /><Relationship Type="http://schemas.openxmlformats.org/officeDocument/2006/relationships/hyperlink" Target="https://www.blog.udonis.co/statistics/whiteout-survival" TargetMode="External" Id="rId6" /><Relationship Type="http://schemas.openxmlformats.org/officeDocument/2006/relationships/hyperlink" Target="https://appfigures.com/resources/insights/kingshot-500m-revenue-century-games" TargetMode="External" Id="rId7" /><Relationship Type="http://schemas.openxmlformats.org/officeDocument/2006/relationships/hyperlink" Target="https://mobilegamer.biz/data-digest-kingshot-outpaces-whiteout-survival-female-players-overlooked-casual-market-flat-januarys-top-titles-more/" TargetMode="External" Id="rId8" /><Relationship Type="http://schemas.openxmlformats.org/officeDocument/2006/relationships/hyperlink" Target="https://www.blog.udonis.co/statistics/state-of-survival" TargetMode="External" Id="rId9" /><Relationship Type="http://schemas.openxmlformats.org/officeDocument/2006/relationships/hyperlink" Target="https://www.tradingview.com/news/reuters.com,2026-03-25:newsml_ACN105845:0-igg-doomsday-last-survivors-achieves-record-high-monthly-gross-billing-of-hk-130-million/" TargetMode="External" Id="rId10" /><Relationship Type="http://schemas.openxmlformats.org/officeDocument/2006/relationships/hyperlink" Target="https://sensortower.com/blog/lifeafter-revenue" TargetMode="External" Id="rId11" /><Relationship Type="http://schemas.openxmlformats.org/officeDocument/2006/relationships/hyperlink" Target="https://mobilegamer.biz/data-digest-savvys-moonton-swoop-liftoff-kills-ipo-habby-hits-2bn-fallout-shelter-more/" TargetMode="External" Id="rId12" /><Relationship Type="http://schemas.openxmlformats.org/officeDocument/2006/relationships/hyperlink" Target="https://mobilegamer.biz/two-months-in-survivor-io-passes-75m-from-37m-downloads/" TargetMode="External" Id="rId13" /><Relationship Type="http://schemas.openxmlformats.org/officeDocument/2006/relationships/hyperlink" Target="https://www.gamedeveloper.com/business/-i-fallout-shelter-i-surpasses-90m-in-lifetime-mobile-revenue" TargetMode="External" Id="rId14" /><Relationship Type="http://schemas.openxmlformats.org/officeDocument/2006/relationships/hyperlink" Target="https://www.blog.udonis.co/mobile-marketing/mobile-games/terraria" TargetMode="External" Id="rId15" /><Relationship Type="http://schemas.openxmlformats.org/officeDocument/2006/relationships/hyperlink" Target="https://www.notebookcheck.net/Stardew-Valley-raked-in-over-1-million-in-its-first-month-on-iOS.366871.0.html" TargetMode="External" Id="rId16" /><Relationship Type="http://schemas.openxmlformats.org/officeDocument/2006/relationships/hyperlink" Target="https://games-stats.com/steam/game/mindustry/" TargetMode="External" Id="rId17" /><Relationship Type="http://schemas.openxmlformats.org/officeDocument/2006/relationships/hyperlink" Target="https://play.google.com/store/apps/details?id=com.rockbite.deeptown" TargetMode="External" Id="rId18" /><Relationship Type="http://schemas.openxmlformats.org/officeDocument/2006/relationships/hyperlink" Target="https://www.appbrain.com/app/dawn-of-zombies-survival-game/com.survival.last" TargetMode="External" Id="rId19" /><Relationship Type="http://schemas.openxmlformats.org/officeDocument/2006/relationships/hyperlink" Target="https://kefirgames.com/games/last-day-on-earth" TargetMode="External" Id="rId20" /><Relationship Type="http://schemas.openxmlformats.org/officeDocument/2006/relationships/hyperlink" Target="https://www.blog.udonis.co/mobile-marketing/mobile-games/most-downloaded-mobile-games" TargetMode="External" Id="rId21" /><Relationship Type="http://schemas.openxmlformats.org/officeDocument/2006/relationships/hyperlink" Target="https://www.deconstructoroffun.com/blog/2026/2/2/state-of-mobile-2026" TargetMode="External" Id="rId22" /><Relationship Type="http://schemas.openxmlformats.org/officeDocument/2006/relationships/hyperlink" Target="https://www.singular.net/blog/top-mobile-games/" TargetMode="External" Id="rId23" /><Relationship Type="http://schemas.openxmlformats.org/officeDocument/2006/relationships/hyperlink" Target="https://mobi.gg/en/tops/top-17-best-survival-games-mobile-android-ios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62" customWidth="1" min="4" max="4"/>
    <col width="14" customWidth="1" min="5" max="5"/>
    <col width="14" customWidth="1" min="6" max="6"/>
  </cols>
  <sheetData>
    <row r="1" ht="30" customHeight="1">
      <c r="A1" s="1" t="inlineStr">
        <is>
          <t>Исследование мобильного рынка (Google Play + App Store), 2026 — топ по выручке, топ по загрузкам, референсы под концепт</t>
        </is>
      </c>
    </row>
    <row r="2" ht="26" customHeight="1">
      <c r="A2" s="2" t="inlineStr">
        <is>
          <t>Дата подготовки: 03.08.2026 · Все финансовые цифры — оценки сторонних аналитиков (Sensor Tower, AppMagic, Appfigures, mobilegamer.biz), а не отчётность издателей. Источники — на листе 06_Источники.</t>
        </is>
      </c>
    </row>
    <row r="4">
      <c r="A4" s="3" t="inlineStr">
        <is>
          <t>1. КЛЮЧЕВЫЕ ЦИФРЫ РЫНКА</t>
        </is>
      </c>
    </row>
    <row r="5" ht="30" customHeight="1">
      <c r="A5" s="4" t="inlineStr">
        <is>
          <t>Показатель</t>
        </is>
      </c>
      <c r="B5" s="4" t="inlineStr">
        <is>
          <t>Значение</t>
        </is>
      </c>
      <c r="C5" s="4" t="inlineStr">
        <is>
          <t>Ед. изм.</t>
        </is>
      </c>
      <c r="D5" s="4" t="inlineStr">
        <is>
          <t>Комментарий / что это значит для нас</t>
        </is>
      </c>
      <c r="E5" s="4" t="inlineStr">
        <is>
          <t>Доля</t>
        </is>
      </c>
      <c r="F5" t="inlineStr"/>
    </row>
    <row r="6">
      <c r="A6" s="5" t="inlineStr">
        <is>
          <t>Прогноз выручки топ-100 мобильных игр, 2026</t>
        </is>
      </c>
      <c r="B6" s="6" t="n">
        <v>53000</v>
      </c>
      <c r="C6" s="5" t="inlineStr">
        <is>
          <t>$ млн</t>
        </is>
      </c>
      <c r="D6" s="7" t="inlineStr">
        <is>
          <t>Рынок продолжает расти: почти вся выручка концентрируется в топ-100 — пробиться туда трудно, но потолок огромен.</t>
        </is>
      </c>
      <c r="E6" s="8" t="n"/>
    </row>
    <row r="7">
      <c r="A7" s="5" t="inlineStr">
        <is>
          <t>Выручка топ-100 мобильных игр, 2025 (факт)</t>
        </is>
      </c>
      <c r="B7" s="6" t="n">
        <v>46600</v>
      </c>
      <c r="C7" s="5" t="inlineStr">
        <is>
          <t>$ млн</t>
        </is>
      </c>
      <c r="D7" s="7" t="inlineStr">
        <is>
          <t>Рост год к году ≈ +14%.</t>
        </is>
      </c>
      <c r="E7" s="8" t="n"/>
    </row>
    <row r="8">
      <c r="A8" s="5" t="inlineStr">
        <is>
          <t>Доля топ-100 в общей выручке мобильных игр</t>
        </is>
      </c>
      <c r="B8" s="9" t="n">
        <v>0.58</v>
      </c>
      <c r="C8" s="5" t="inlineStr">
        <is>
          <t>%</t>
        </is>
      </c>
      <c r="D8" s="7" t="inlineStr">
        <is>
          <t>42% выручки — за пределами топ-100: нишевый постапокалипсис может быть прибыльным без входа в топ-10.</t>
        </is>
      </c>
      <c r="E8" s="8" t="n"/>
    </row>
    <row r="9">
      <c r="A9" s="5" t="inlineStr">
        <is>
          <t>Жанр №1 по выручке 2026: RPG</t>
        </is>
      </c>
      <c r="B9" s="6" t="n">
        <v>24000</v>
      </c>
      <c r="C9" s="5" t="inlineStr">
        <is>
          <t>$ млн</t>
        </is>
      </c>
      <c r="D9" s="7" t="inlineStr">
        <is>
          <t>Самый ёмкий жанр, но и самый дорогой по производству.</t>
        </is>
      </c>
      <c r="E9" s="10">
        <f>B9/$B$15</f>
        <v/>
      </c>
    </row>
    <row r="10">
      <c r="A10" s="5" t="inlineStr">
        <is>
          <t>Жанр №2: Strategy (4X / выживание)</t>
        </is>
      </c>
      <c r="B10" s="6" t="n">
        <v>19000</v>
      </c>
      <c r="C10" s="5" t="inlineStr">
        <is>
          <t>$ млн</t>
        </is>
      </c>
      <c r="D10" s="7" t="inlineStr">
        <is>
          <t>ЦЕЛЕВОЙ жанр: сюда попадают Whiteout Survival, Kingshot, State of Survival — база + ресурсы + альянсы.</t>
        </is>
      </c>
      <c r="E10" s="10">
        <f>B10/$B$15</f>
        <v/>
      </c>
    </row>
    <row r="11">
      <c r="A11" s="5" t="inlineStr">
        <is>
          <t>Жанр №3: Casual</t>
        </is>
      </c>
      <c r="B11" s="6" t="n">
        <v>16000</v>
      </c>
      <c r="C11" s="5" t="inlineStr">
        <is>
          <t>$ млн</t>
        </is>
      </c>
      <c r="D11" s="7" t="inlineStr">
        <is>
          <t>Источник дешёвого трафика; гибридные механики оттуда стоит заимствовать.</t>
        </is>
      </c>
      <c r="E11" s="10">
        <f>B11/$B$15</f>
        <v/>
      </c>
    </row>
    <row r="12">
      <c r="A12" s="5" t="inlineStr">
        <is>
          <t>Рост выручки hybrid-casual сегмента, 2025→2026</t>
        </is>
      </c>
      <c r="B12" s="9" t="n">
        <v>0.37</v>
      </c>
      <c r="C12" s="5" t="inlineStr">
        <is>
          <t>%</t>
        </is>
      </c>
      <c r="D12" s="7" t="inlineStr">
        <is>
          <t>Самый быстрорастущий сегмент: простое ядро + глубокая мета + IAP.</t>
        </is>
      </c>
      <c r="E12" s="8" t="n"/>
    </row>
    <row r="13">
      <c r="A13" s="5" t="inlineStr">
        <is>
          <t>Рост выручки от подписок в играх, г/г</t>
        </is>
      </c>
      <c r="B13" s="9" t="n">
        <v>0.28</v>
      </c>
      <c r="C13" s="5" t="inlineStr">
        <is>
          <t>%</t>
        </is>
      </c>
      <c r="D13" s="7" t="inlineStr">
        <is>
          <t>Подписка (батл-пасс + VIP) — обязательный слой монетизации для нашей игры.</t>
        </is>
      </c>
      <c r="E13" s="8" t="n"/>
    </row>
    <row r="14">
      <c r="A14" s="5" t="inlineStr">
        <is>
          <t>Доля топ-игр, использующих 5–7 механик монетизации</t>
        </is>
      </c>
      <c r="B14" s="9" t="n">
        <v>0.83</v>
      </c>
      <c r="C14" s="5" t="inlineStr">
        <is>
          <t>%</t>
        </is>
      </c>
      <c r="D14" s="7" t="inlineStr">
        <is>
          <t>Одной валюты мало: нужны пасс, стартовые наборы, VIP, ускорители, косметика.</t>
        </is>
      </c>
      <c r="E14" s="8" t="n"/>
    </row>
    <row r="15">
      <c r="A15" s="11" t="inlineStr">
        <is>
          <t>Сумма топ-3 жанров (RPG + Strategy + Casual)</t>
        </is>
      </c>
      <c r="B15" s="12">
        <f>SUM(B9:B11)</f>
        <v/>
      </c>
      <c r="C15" s="11" t="inlineStr">
        <is>
          <t>$ млн</t>
        </is>
      </c>
      <c r="D15" s="13" t="inlineStr">
        <is>
          <t>Доля каждого жанра считается от этой суммы (колонка «Доля»).</t>
        </is>
      </c>
      <c r="E15" s="14" t="n"/>
    </row>
    <row r="17">
      <c r="A17" s="3" t="inlineStr">
        <is>
          <t>2. ГЛАВНЫЕ ВЫВОДЫ ПОД ВАШ КОНЦЕПТ</t>
        </is>
      </c>
    </row>
    <row r="18" ht="44" customHeight="1">
      <c r="A18" s="15" t="inlineStr">
        <is>
          <t>1. Деньги в 2026-м делает «выживание + строительство базы»</t>
        </is>
      </c>
      <c r="B18" s="7" t="inlineStr">
        <is>
          <t>4 из топ-10 по выручке — survival/4X: Whiteout Survival (~$110 млн/мес), Kingshot ($812 млн за первый год), Last War, плюс State of Survival ($1,69 млрд lifetime). Ваш сеттинг попадает точно в самый денежный тренд.</t>
        </is>
      </c>
      <c r="C18" s="8" t="n"/>
      <c r="D18" s="8" t="n"/>
      <c r="E18" s="8" t="n"/>
      <c r="F18" s="8" t="n"/>
    </row>
    <row r="19" ht="44" customHeight="1">
      <c r="A19" s="15" t="inlineStr">
        <is>
          <t>2. Но топ-грос игры — не 2D и не про движение персонажа</t>
        </is>
      </c>
      <c r="B19" s="7" t="inlineStr">
        <is>
          <t>Они изометрические/3D, управление — тапы по карте города. Ваше «движение по X/Y» — это другая ниша (Last Day on Earth, Survivor.io, Dysmantle). Значит: монетизацию берём у 4X, геймплей — у top-down выживачей.</t>
        </is>
      </c>
      <c r="C19" s="8" t="n"/>
      <c r="D19" s="8" t="n"/>
      <c r="E19" s="8" t="n"/>
      <c r="F19" s="8" t="n"/>
    </row>
    <row r="20" ht="44" customHeight="1">
      <c r="A20" s="15" t="inlineStr">
        <is>
          <t>3. Ближайший коммерческий аналог по геймплею — Last Day on Earth: Survival (Kefir)</t>
        </is>
      </c>
      <c r="B20" s="7" t="inlineStr">
        <is>
          <t>Top-down, движение стиком по X/Y, крафт, база, грядки, вылазки за ресурсы, F2P с премиум-валютой. Это самый близкий к вашему ТЗ успешный F2P-проект.</t>
        </is>
      </c>
      <c r="C20" s="8" t="n"/>
      <c r="D20" s="8" t="n"/>
      <c r="E20" s="8" t="n"/>
      <c r="F20" s="8" t="n"/>
    </row>
    <row r="21" ht="44" customHeight="1">
      <c r="A21" s="15" t="inlineStr">
        <is>
          <t>4. Ферма + автоматизация в 2D продаются, но в основном как premium</t>
        </is>
      </c>
      <c r="B21" s="7" t="inlineStr">
        <is>
          <t>Stardew Valley, Forager, Core Keeper, Terraria — это платные игры. F2P-исключения: Deep Town (автоматизация + идл, F2P) и Harvest Town (ферма, F2P). Значит автоматизацию надо монетизировать через ускорители/слоты, а не через продажу игры.</t>
        </is>
      </c>
      <c r="C21" s="8" t="n"/>
      <c r="D21" s="8" t="n"/>
      <c r="E21" s="8" t="n"/>
      <c r="F21" s="8" t="n"/>
    </row>
    <row r="22" ht="44" customHeight="1">
      <c r="A22" s="15" t="inlineStr">
        <is>
          <t>5. Мирный город-хаб — недооценённая, но проверенная механика</t>
        </is>
      </c>
      <c r="B22" s="7" t="inlineStr">
        <is>
          <t>В Terraria город NPC = торговля + квесты, в LifeAfter — город Осень. Для F2P это ещё и точка входа в социалку (кланы, торговля между игроками) и в монетизацию (слоты торговли, VIP-скидки).</t>
        </is>
      </c>
      <c r="C22" s="8" t="n"/>
      <c r="D22" s="8" t="n"/>
      <c r="E22" s="8" t="n"/>
      <c r="F22" s="8" t="n"/>
    </row>
    <row r="23" ht="44" customHeight="1">
      <c r="A23" s="15" t="inlineStr">
        <is>
          <t>6. Монетизация: freemium с 5–7 механиками</t>
        </is>
      </c>
      <c r="B23" s="7" t="inlineStr">
        <is>
          <t>83% топ-игр комбинируют 5–7 механик. Минимальный набор для вас: премиум-валюта, батл-пасс (сезоны), стартовый набор, VIP/подписка, ускорители производства, слоты автоматизации, косметика для базы.</t>
        </is>
      </c>
      <c r="C23" s="8" t="n"/>
      <c r="D23" s="8" t="n"/>
      <c r="E23" s="8" t="n"/>
      <c r="F23" s="8" t="n"/>
    </row>
    <row r="24" ht="44" customHeight="1">
      <c r="A24" s="15" t="inlineStr">
        <is>
          <t>7. Загрузки ≠ выручка</t>
        </is>
      </c>
      <c r="B24" s="7" t="inlineStr">
        <is>
          <t>Лидеры загрузок — Roblox, Free Fire, Block Blast, Subway Surfers. Это гипер/казуал. В нише выживания объём загрузок ниже, но ARPU в 5–15 раз выше — ориентируйтесь на выручку, а не на скачивания.</t>
        </is>
      </c>
      <c r="C24" s="8" t="n"/>
      <c r="D24" s="8" t="n"/>
      <c r="E24" s="8" t="n"/>
      <c r="F24" s="8" t="n"/>
    </row>
    <row r="25" ht="44" customHeight="1">
      <c r="A25" s="15" t="inlineStr">
        <is>
          <t>8. Оптимальная стратегия</t>
        </is>
      </c>
      <c r="B25" s="7" t="inlineStr">
        <is>
          <t>«Last Day on Earth» по управлению + «Forager/Stardew» по ферме и автоматизации + «Whiteout Survival» по монетизации и live-ops + мирный хаб-город как социальное ядро.</t>
        </is>
      </c>
      <c r="C25" s="8" t="n"/>
      <c r="D25" s="8" t="n"/>
      <c r="E25" s="8" t="n"/>
      <c r="F25" s="8" t="n"/>
    </row>
    <row r="27">
      <c r="A27" s="3" t="inlineStr">
        <is>
          <t>3. КАК ЧИТАТЬ ФАЙЛ</t>
        </is>
      </c>
    </row>
    <row r="28">
      <c r="A28" s="16" t="inlineStr">
        <is>
          <t>02_Топ_выручка</t>
        </is>
      </c>
      <c r="B28" s="7" t="inlineStr">
        <is>
          <t>Топ-10 мобильных игр мира по выручке в 2026 (H1) — бенчмарк монетизации.</t>
        </is>
      </c>
      <c r="C28" s="8" t="n"/>
      <c r="D28" s="8" t="n"/>
      <c r="E28" s="8" t="n"/>
      <c r="F28" s="8" t="n"/>
    </row>
    <row r="29">
      <c r="A29" s="16" t="inlineStr">
        <is>
          <t>03_Топ_загрузки</t>
        </is>
      </c>
      <c r="B29" s="7" t="inlineStr">
        <is>
          <t>Лидеры по скачиваниям 2026 — бенчмарк по трафику и удержанию.</t>
        </is>
      </c>
      <c r="C29" s="8" t="n"/>
      <c r="D29" s="8" t="n"/>
      <c r="E29" s="8" t="n"/>
      <c r="F29" s="8" t="n"/>
    </row>
    <row r="30">
      <c r="A30" s="16" t="inlineStr">
        <is>
          <t>04_Референсы</t>
        </is>
      </c>
      <c r="B30" s="7" t="inlineStr">
        <is>
          <t>22 игры, релевантные вашему ТЗ: перспектива, графика, монетизация, цифры, что забрать.</t>
        </is>
      </c>
      <c r="C30" s="8" t="n"/>
      <c r="D30" s="8" t="n"/>
      <c r="E30" s="8" t="n"/>
      <c r="F30" s="8" t="n"/>
    </row>
    <row r="31">
      <c r="A31" s="16" t="inlineStr">
        <is>
          <t>05_Скоринг</t>
        </is>
      </c>
      <c r="B31" s="7" t="inlineStr">
        <is>
          <t>Оценка каждой игры 0–10 по 7 вашим критериям + вес критерия + итоговый приоритет и ранг.</t>
        </is>
      </c>
      <c r="C31" s="8" t="n"/>
      <c r="D31" s="8" t="n"/>
      <c r="E31" s="8" t="n"/>
      <c r="F31" s="8" t="n"/>
    </row>
    <row r="32">
      <c r="A32" s="16" t="inlineStr">
        <is>
          <t>06_Источники</t>
        </is>
      </c>
      <c r="B32" s="7" t="inlineStr">
        <is>
          <t>Ссылки на все использованные данные.</t>
        </is>
      </c>
      <c r="C32" s="8" t="n"/>
      <c r="D32" s="8" t="n"/>
      <c r="E32" s="8" t="n"/>
      <c r="F32" s="8" t="n"/>
    </row>
    <row r="34">
      <c r="A34" s="17" t="inlineStr">
        <is>
          <t>Синим цветом отмечены исходные числа (данные аналитиков), чёрным — рассчитанные формулами.</t>
        </is>
      </c>
    </row>
  </sheetData>
  <mergeCells count="15">
    <mergeCell ref="B21:F21"/>
    <mergeCell ref="A2:F2"/>
    <mergeCell ref="B30:F30"/>
    <mergeCell ref="B29:F29"/>
    <mergeCell ref="B24:F24"/>
    <mergeCell ref="B20:F20"/>
    <mergeCell ref="A1:F1"/>
    <mergeCell ref="B25:F25"/>
    <mergeCell ref="B28:F28"/>
    <mergeCell ref="B19:F19"/>
    <mergeCell ref="B31:F31"/>
    <mergeCell ref="B23:F23"/>
    <mergeCell ref="B22:F22"/>
    <mergeCell ref="B32:F32"/>
    <mergeCell ref="B18:F1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2" customWidth="1" min="4" max="4"/>
    <col width="26" customWidth="1" min="5" max="5"/>
    <col width="15" customWidth="1" min="6" max="6"/>
    <col width="26" customWidth="1" min="7" max="7"/>
    <col width="40" customWidth="1" min="8" max="8"/>
    <col width="13" customWidth="1" min="9" max="9"/>
    <col width="52" customWidth="1" min="10" max="10"/>
  </cols>
  <sheetData>
    <row r="1" ht="30" customHeight="1">
      <c r="A1" s="1" t="inlineStr">
        <is>
          <t>Топ-10 мобильных игр мира по выручке, 2026 (первое полугодие)</t>
        </is>
      </c>
    </row>
    <row r="2" ht="26" customHeight="1">
      <c r="A2" s="2" t="inlineStr">
        <is>
          <t>Оценки net-выручки сторов (без учёта 30% комиссии, рекламы и китайского Android-рынка). Источники: mobilegamer.biz / Sensor Tower / AppMagic / Appfigures.</t>
        </is>
      </c>
    </row>
    <row r="3" ht="42" customHeight="1">
      <c r="A3" s="4" t="inlineStr">
        <is>
          <t>№</t>
        </is>
      </c>
      <c r="B3" s="4" t="inlineStr">
        <is>
          <t>Игра</t>
        </is>
      </c>
      <c r="C3" s="4" t="inlineStr">
        <is>
          <t>Издатель</t>
        </is>
      </c>
      <c r="D3" s="4" t="inlineStr">
        <is>
          <t>Жанр</t>
        </is>
      </c>
      <c r="E3" s="4" t="inlineStr">
        <is>
          <t>Модель монетизации</t>
        </is>
      </c>
      <c r="F3" s="4" t="inlineStr">
        <is>
          <t>Выручка, $ млн/мес (оценка)</t>
        </is>
      </c>
      <c r="G3" s="4" t="inlineStr">
        <is>
          <t>Lifetime / накопленная выручка</t>
        </is>
      </c>
      <c r="H3" s="4" t="inlineStr">
        <is>
          <t>Период и комментарий</t>
        </is>
      </c>
      <c r="I3" s="4" t="inlineStr">
        <is>
          <t>Релевантность концепту (1–5)</t>
        </is>
      </c>
      <c r="J3" s="4" t="inlineStr">
        <is>
          <t>Что забрать себе</t>
        </is>
      </c>
    </row>
    <row r="4" ht="46" customHeight="1">
      <c r="A4" s="7" t="n">
        <v>1</v>
      </c>
      <c r="B4" s="7" t="inlineStr">
        <is>
          <t>Honor of Kings</t>
        </is>
      </c>
      <c r="C4" s="7" t="inlineStr">
        <is>
          <t>Tencent</t>
        </is>
      </c>
      <c r="D4" s="7" t="inlineStr">
        <is>
          <t>MOBA</t>
        </is>
      </c>
      <c r="E4" s="7" t="inlineStr">
        <is>
          <t>F2P: скины, герои, пропуск</t>
        </is>
      </c>
      <c r="F4" s="18" t="n">
        <v>160</v>
      </c>
      <c r="G4" s="7" t="inlineStr">
        <is>
          <t>&gt; $2,5 млрд за 2026</t>
        </is>
      </c>
      <c r="H4" s="7" t="inlineStr">
        <is>
          <t>Пик $194 млн (январь 2026); 98% выручки — Китай</t>
        </is>
      </c>
      <c r="I4" s="19" t="n">
        <v>1</v>
      </c>
      <c r="J4" s="7" t="inlineStr">
        <is>
          <t>Косметика как основной драйвер: продавать не силу, а вид базы/персонажа</t>
        </is>
      </c>
    </row>
    <row r="5" ht="46" customHeight="1">
      <c r="A5" s="20" t="n">
        <v>2</v>
      </c>
      <c r="B5" s="20" t="inlineStr">
        <is>
          <t>Whiteout Survival</t>
        </is>
      </c>
      <c r="C5" s="20" t="inlineStr">
        <is>
          <t>Century Games</t>
        </is>
      </c>
      <c r="D5" s="20" t="inlineStr">
        <is>
          <t>4X-выживание (ледниковый апокалипсис)</t>
        </is>
      </c>
      <c r="E5" s="20" t="inlineStr">
        <is>
          <t>F2P: валюта, наборы, VIP, пропуск</t>
        </is>
      </c>
      <c r="F5" s="21" t="n">
        <v>110</v>
      </c>
      <c r="G5" s="20" t="inlineStr">
        <is>
          <t>&gt; $3 млрд за 2,5 года</t>
        </is>
      </c>
      <c r="H5" s="20" t="inlineStr">
        <is>
          <t>Лидер по выручке в июне 2026; ~2 млн DAU</t>
        </is>
      </c>
      <c r="I5" s="22" t="n">
        <v>5</v>
      </c>
      <c r="J5" s="20" t="inlineStr">
        <is>
          <t>ЭТАЛОН: постапокалипсис + город + ресурсы + альянсы. Копировать структуру экономики и live-ops</t>
        </is>
      </c>
    </row>
    <row r="6" ht="46" customHeight="1">
      <c r="A6" s="7" t="n">
        <v>3</v>
      </c>
      <c r="B6" s="7" t="inlineStr">
        <is>
          <t>Last War: Survival</t>
        </is>
      </c>
      <c r="C6" s="7" t="inlineStr">
        <is>
          <t>First Fun (FunFly)</t>
        </is>
      </c>
      <c r="D6" s="7" t="inlineStr">
        <is>
          <t>4X + гибридные мини-игры</t>
        </is>
      </c>
      <c r="E6" s="7" t="inlineStr">
        <is>
          <t>F2P: валюта, наборы, пропуск</t>
        </is>
      </c>
      <c r="F6" s="18" t="n">
        <v>71</v>
      </c>
      <c r="G6" s="7" t="inlineStr">
        <is>
          <t>Ранее $120–135 млн/мес (2025)</t>
        </is>
      </c>
      <c r="H6" s="7" t="inlineStr">
        <is>
          <t>Июнь 2026 — $71 млн, снижение</t>
        </is>
      </c>
      <c r="I6" s="19" t="n">
        <v>4</v>
      </c>
      <c r="J6" s="7" t="inlineStr">
        <is>
          <t>Гибридная воронка: казуальная мини-игра в рекламе → мидкорная мета внутри</t>
        </is>
      </c>
    </row>
    <row r="7" ht="46" customHeight="1">
      <c r="A7" s="20" t="n">
        <v>4</v>
      </c>
      <c r="B7" s="20" t="inlineStr">
        <is>
          <t>Royal Match</t>
        </is>
      </c>
      <c r="C7" s="20" t="inlineStr">
        <is>
          <t>Dream Games</t>
        </is>
      </c>
      <c r="D7" s="20" t="inlineStr">
        <is>
          <t>Puzzle (match-3)</t>
        </is>
      </c>
      <c r="E7" s="20" t="inlineStr">
        <is>
          <t>F2P: жизни, ходы, ивенты</t>
        </is>
      </c>
      <c r="F7" s="21" t="n">
        <v>100</v>
      </c>
      <c r="G7" s="20" t="inlineStr">
        <is>
          <t>н/д</t>
        </is>
      </c>
      <c r="H7" s="20" t="inlineStr">
        <is>
          <t>Стабильно ~$100 млн/мес, №2 в июне 2026</t>
        </is>
      </c>
      <c r="I7" s="22" t="n">
        <v>2</v>
      </c>
      <c r="J7" s="20" t="inlineStr">
        <is>
          <t>Календарь ивентов и «мягкие» стены прогресса</t>
        </is>
      </c>
    </row>
    <row r="8" ht="46" customHeight="1">
      <c r="A8" s="7" t="n">
        <v>5</v>
      </c>
      <c r="B8" s="7" t="inlineStr">
        <is>
          <t>PUBG Mobile</t>
        </is>
      </c>
      <c r="C8" s="7" t="inlineStr">
        <is>
          <t>Tencent / Krafton</t>
        </is>
      </c>
      <c r="D8" s="7" t="inlineStr">
        <is>
          <t>Battle Royale</t>
        </is>
      </c>
      <c r="E8" s="7" t="inlineStr">
        <is>
          <t>F2P: пропуск, косметика</t>
        </is>
      </c>
      <c r="F8" s="18" t="n">
        <v>133</v>
      </c>
      <c r="G8" s="7" t="inlineStr">
        <is>
          <t>н/д</t>
        </is>
      </c>
      <c r="H8" s="7" t="inlineStr">
        <is>
          <t>Пик $133 млн (февраль 2026), волатилен</t>
        </is>
      </c>
      <c r="I8" s="19" t="n">
        <v>1</v>
      </c>
      <c r="J8" s="7" t="inlineStr">
        <is>
          <t>Сезонность и коллаборации с IP</t>
        </is>
      </c>
    </row>
    <row r="9" ht="46" customHeight="1">
      <c r="A9" s="20" t="n">
        <v>6</v>
      </c>
      <c r="B9" s="20" t="inlineStr">
        <is>
          <t>Gossip Harbor</t>
        </is>
      </c>
      <c r="C9" s="20" t="inlineStr">
        <is>
          <t>Microfun</t>
        </is>
      </c>
      <c r="D9" s="20" t="inlineStr">
        <is>
          <t>Merge + сюжет</t>
        </is>
      </c>
      <c r="E9" s="20" t="inlineStr">
        <is>
          <t>F2P: энергия, наборы</t>
        </is>
      </c>
      <c r="F9" s="21" t="n">
        <v>100</v>
      </c>
      <c r="G9" s="20" t="inlineStr">
        <is>
          <t>н/д</t>
        </is>
      </c>
      <c r="H9" s="20" t="inlineStr">
        <is>
          <t>Растёт, №4 по выручке в июне 2026</t>
        </is>
      </c>
      <c r="I9" s="22" t="n">
        <v>2</v>
      </c>
      <c r="J9" s="20" t="inlineStr">
        <is>
          <t>Сюжетная нарезка как удержание в казуальной обёртке</t>
        </is>
      </c>
    </row>
    <row r="10" ht="46" customHeight="1">
      <c r="A10" s="7" t="n">
        <v>7</v>
      </c>
      <c r="B10" s="7" t="inlineStr">
        <is>
          <t>Roblox</t>
        </is>
      </c>
      <c r="C10" s="7" t="inlineStr">
        <is>
          <t>Roblox Corp.</t>
        </is>
      </c>
      <c r="D10" s="7" t="inlineStr">
        <is>
          <t>UGC-платформа</t>
        </is>
      </c>
      <c r="E10" s="7" t="inlineStr">
        <is>
          <t>F2P: Robux</t>
        </is>
      </c>
      <c r="F10" s="23" t="n"/>
      <c r="G10" s="7" t="inlineStr">
        <is>
          <t>н/д</t>
        </is>
      </c>
      <c r="H10" s="7" t="inlineStr">
        <is>
          <t>Снижение г/г по сравнению с H1 2025; №1 по загрузкам</t>
        </is>
      </c>
      <c r="I10" s="19" t="n">
        <v>2</v>
      </c>
      <c r="J10" s="7" t="inlineStr">
        <is>
          <t>UGC и социальность как бесконечный контент</t>
        </is>
      </c>
    </row>
    <row r="11" ht="46" customHeight="1">
      <c r="A11" s="20" t="n">
        <v>8</v>
      </c>
      <c r="B11" s="20" t="inlineStr">
        <is>
          <t>MONOPOLY GO!</t>
        </is>
      </c>
      <c r="C11" s="20" t="inlineStr">
        <is>
          <t>Scopely</t>
        </is>
      </c>
      <c r="D11" s="20" t="inlineStr">
        <is>
          <t>Board / social casino-like</t>
        </is>
      </c>
      <c r="E11" s="20" t="inlineStr">
        <is>
          <t>F2P: кубики, наборы</t>
        </is>
      </c>
      <c r="F11" s="21" t="n">
        <v>85</v>
      </c>
      <c r="G11" s="20" t="inlineStr">
        <is>
          <t>н/д</t>
        </is>
      </c>
      <c r="H11" s="20" t="inlineStr">
        <is>
          <t>~$85 млн/мес IAP, №5 по выручке в июне 2026</t>
        </is>
      </c>
      <c r="I11" s="22" t="n">
        <v>2</v>
      </c>
      <c r="J11" s="20" t="inlineStr">
        <is>
          <t>Соревновательные ивенты с наградами по лигам</t>
        </is>
      </c>
    </row>
    <row r="12" ht="46" customHeight="1">
      <c r="A12" s="7" t="n">
        <v>9</v>
      </c>
      <c r="B12" s="7" t="inlineStr">
        <is>
          <t>Candy Crush Saga</t>
        </is>
      </c>
      <c r="C12" s="7" t="inlineStr">
        <is>
          <t>King (Microsoft)</t>
        </is>
      </c>
      <c r="D12" s="7" t="inlineStr">
        <is>
          <t>Puzzle</t>
        </is>
      </c>
      <c r="E12" s="7" t="inlineStr">
        <is>
          <t>F2P: ходы, бустеры</t>
        </is>
      </c>
      <c r="F12" s="18" t="n">
        <v>95</v>
      </c>
      <c r="G12" s="7" t="inlineStr">
        <is>
          <t>&gt; $20 млрд lifetime (за 13 лет)</t>
        </is>
      </c>
      <c r="H12" s="7" t="inlineStr">
        <is>
          <t>~$95 млн/мес IAP</t>
        </is>
      </c>
      <c r="I12" s="19" t="n">
        <v>1</v>
      </c>
      <c r="J12" s="7" t="inlineStr">
        <is>
          <t>Долгожительство за счёт бесконечного контента уровней</t>
        </is>
      </c>
    </row>
    <row r="13" ht="46" customHeight="1">
      <c r="A13" s="20" t="n">
        <v>10</v>
      </c>
      <c r="B13" s="20" t="inlineStr">
        <is>
          <t>Kingshot</t>
        </is>
      </c>
      <c r="C13" s="20" t="inlineStr">
        <is>
          <t>Century Games</t>
        </is>
      </c>
      <c r="D13" s="20" t="inlineStr">
        <is>
          <t>4X-выживание + tower defense + idle</t>
        </is>
      </c>
      <c r="E13" s="20" t="inlineStr">
        <is>
          <t>F2P: валюта, наборы, VIP</t>
        </is>
      </c>
      <c r="F13" s="21" t="n">
        <v>93</v>
      </c>
      <c r="G13" s="20" t="inlineStr">
        <is>
          <t>$811,9 млн за первые 12 месяцев</t>
        </is>
      </c>
      <c r="H13" s="20" t="inlineStr">
        <is>
          <t>Пик $102,2 млн (январь 2026); 42 млн загрузок</t>
        </is>
      </c>
      <c r="I13" s="22" t="n">
        <v>5</v>
      </c>
      <c r="J13" s="20" t="inlineStr">
        <is>
          <t>Смешение жанров: idle + защита базы + 4X. Быстрый вход, глубокая мета</t>
        </is>
      </c>
    </row>
    <row r="14">
      <c r="A14" s="14" t="n"/>
      <c r="B14" s="11" t="inlineStr">
        <is>
          <t>Среднее по топ-10 (где есть данные)</t>
        </is>
      </c>
      <c r="C14" s="14" t="n"/>
      <c r="D14" s="14" t="n"/>
      <c r="E14" s="14" t="n"/>
      <c r="F14" s="12">
        <f>AVERAGE(F4:F13)</f>
        <v/>
      </c>
      <c r="G14" s="14" t="n"/>
      <c r="H14" s="13" t="inlineStr">
        <is>
          <t>Средняя релевантность топ-10 нашему концепту →</t>
        </is>
      </c>
      <c r="I14" s="24">
        <f>AVERAGE(I4:I13)</f>
        <v/>
      </c>
      <c r="J14" s="14" t="n"/>
    </row>
    <row r="16">
      <c r="B16" s="25" t="inlineStr">
        <is>
          <t>Игр с релевантностью 4–5 в топ-10:</t>
        </is>
      </c>
      <c r="F16" s="25">
        <f>COUNTIF(I4:I13,"&gt;=4")</f>
        <v/>
      </c>
      <c r="H16" s="17" t="inlineStr">
        <is>
          <t>Все они — survival/постапокалипсис с базой. Это подтверждает выбор сеттинга.</t>
        </is>
      </c>
    </row>
  </sheetData>
  <autoFilter ref="A3:J13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4" customWidth="1" min="4" max="4"/>
    <col width="34" customWidth="1" min="5" max="5"/>
    <col width="32" customWidth="1" min="6" max="6"/>
    <col width="14" customWidth="1" min="7" max="7"/>
    <col width="56" customWidth="1" min="8" max="8"/>
  </cols>
  <sheetData>
    <row r="1" ht="30" customHeight="1">
      <c r="A1" s="1" t="inlineStr">
        <is>
          <t>Лидеры по скачиваниям, 2026 (Google Play + App Store)</t>
        </is>
      </c>
    </row>
    <row r="2" ht="26" customHeight="1">
      <c r="A2" s="2" t="inlineStr">
        <is>
          <t>Данные Sensor Tower / AppMagic / Udonis. Загрузки показывают силу трафика, а не доходность — сверяйте с листом 02.</t>
        </is>
      </c>
    </row>
    <row r="3" ht="42" customHeight="1">
      <c r="A3" s="4" t="inlineStr">
        <is>
          <t>№</t>
        </is>
      </c>
      <c r="B3" s="4" t="inlineStr">
        <is>
          <t>Игра</t>
        </is>
      </c>
      <c r="C3" s="4" t="inlineStr">
        <is>
          <t>Издатель</t>
        </is>
      </c>
      <c r="D3" s="4" t="inlineStr">
        <is>
          <t>Жанр</t>
        </is>
      </c>
      <c r="E3" s="4" t="inlineStr">
        <is>
          <t>Показатель загрузок</t>
        </is>
      </c>
      <c r="F3" s="4" t="inlineStr">
        <is>
          <t>Позиция / период</t>
        </is>
      </c>
      <c r="G3" s="4" t="inlineStr">
        <is>
          <t>Релевантность концепту (1–5)</t>
        </is>
      </c>
      <c r="H3" s="4" t="inlineStr">
        <is>
          <t>Вывод для нас</t>
        </is>
      </c>
    </row>
    <row r="4" ht="42" customHeight="1">
      <c r="A4" s="7" t="n">
        <v>1</v>
      </c>
      <c r="B4" s="7" t="inlineStr">
        <is>
          <t>ROBLOX</t>
        </is>
      </c>
      <c r="C4" s="7" t="inlineStr">
        <is>
          <t>Roblox Corp.</t>
        </is>
      </c>
      <c r="D4" s="7" t="inlineStr">
        <is>
          <t>UGC-платформа</t>
        </is>
      </c>
      <c r="E4" s="7" t="inlineStr">
        <is>
          <t>№1 в мире по загрузкам (июнь 2026)</t>
        </is>
      </c>
      <c r="F4" s="7" t="inlineStr">
        <is>
          <t>Обогнал Free Fire в июне 2026</t>
        </is>
      </c>
      <c r="G4" s="19" t="n">
        <v>2</v>
      </c>
      <c r="H4" s="7" t="inlineStr">
        <is>
          <t>Дети и подростки — крупнейший пул трафика; UGC = бесконечное удержание</t>
        </is>
      </c>
    </row>
    <row r="5" ht="42" customHeight="1">
      <c r="A5" s="20" t="n">
        <v>2</v>
      </c>
      <c r="B5" s="20" t="inlineStr">
        <is>
          <t>Free Fire</t>
        </is>
      </c>
      <c r="C5" s="20" t="inlineStr">
        <is>
          <t>Garena / Sea</t>
        </is>
      </c>
      <c r="D5" s="20" t="inlineStr">
        <is>
          <t>Battle Royale</t>
        </is>
      </c>
      <c r="E5" s="20" t="inlineStr">
        <is>
          <t>№1 в Google Play (годовой зачёт)</t>
        </is>
      </c>
      <c r="F5" s="20" t="inlineStr">
        <is>
          <t>№2 в мире по загрузкам, июнь 2026</t>
        </is>
      </c>
      <c r="G5" s="22" t="n">
        <v>1</v>
      </c>
      <c r="H5" s="20" t="inlineStr">
        <is>
          <t>Оптимизация под слабые устройства = рынки SEA, LATAM, Индия</t>
        </is>
      </c>
    </row>
    <row r="6" ht="42" customHeight="1">
      <c r="A6" s="7" t="n">
        <v>3</v>
      </c>
      <c r="B6" s="7" t="inlineStr">
        <is>
          <t>Block Blast!</t>
        </is>
      </c>
      <c r="C6" s="7" t="inlineStr">
        <is>
          <t>Hungry Studio</t>
        </is>
      </c>
      <c r="D6" s="7" t="inlineStr">
        <is>
          <t>Puzzle</t>
        </is>
      </c>
      <c r="E6" s="7" t="inlineStr">
        <is>
          <t>89 млн загрузок в App Store за год; №1 в App Store 2 года подряд</t>
        </is>
      </c>
      <c r="F6" s="7" t="inlineStr">
        <is>
          <t>№1 в мире по загрузкам (январь 2026)</t>
        </is>
      </c>
      <c r="G6" s="19" t="n">
        <v>1</v>
      </c>
      <c r="H6" s="7" t="inlineStr">
        <is>
          <t>Максимально простая механика + агрессивный UA</t>
        </is>
      </c>
    </row>
    <row r="7" ht="42" customHeight="1">
      <c r="A7" s="20" t="n">
        <v>4</v>
      </c>
      <c r="B7" s="20" t="inlineStr">
        <is>
          <t>Subway Surfers</t>
        </is>
      </c>
      <c r="C7" s="20" t="inlineStr">
        <is>
          <t>SYBO / Kiloo</t>
        </is>
      </c>
      <c r="D7" s="20" t="inlineStr">
        <is>
          <t>Endless runner</t>
        </is>
      </c>
      <c r="E7" s="20" t="inlineStr">
        <is>
          <t>&gt; 2 млрд загрузок за всё время</t>
        </is>
      </c>
      <c r="F7" s="20" t="inlineStr">
        <is>
          <t>Бессменный лидер по накопленным загрузкам</t>
        </is>
      </c>
      <c r="G7" s="22" t="n">
        <v>3</v>
      </c>
      <c r="H7" s="20" t="inlineStr">
        <is>
          <t>Движение по X/Y + постоянные апдейты мира = вечная жизнь проекта</t>
        </is>
      </c>
    </row>
    <row r="8" ht="42" customHeight="1">
      <c r="A8" s="7" t="n">
        <v>5</v>
      </c>
      <c r="B8" s="7" t="inlineStr">
        <is>
          <t>Heartopia</t>
        </is>
      </c>
      <c r="C8" s="7" t="inlineStr">
        <is>
          <t>NetEase</t>
        </is>
      </c>
      <c r="D8" s="7" t="inlineStr">
        <is>
          <t>Life-sim / avatar</t>
        </is>
      </c>
      <c r="E8" s="7" t="inlineStr">
        <is>
          <t>Лидер по приросту загрузок в мире</t>
        </is>
      </c>
      <c r="F8" s="7" t="inlineStr">
        <is>
          <t>Сильнее всего — США и Юго-Восточная Азия</t>
        </is>
      </c>
      <c r="G8" s="19" t="n">
        <v>3</v>
      </c>
      <c r="H8" s="7" t="inlineStr">
        <is>
          <t>Уютный сеттинг и социальность сейчас на подъёме — контраст к жёсткому постапоку</t>
        </is>
      </c>
    </row>
    <row r="9" ht="42" customHeight="1">
      <c r="A9" s="20" t="n">
        <v>6</v>
      </c>
      <c r="B9" s="20" t="inlineStr">
        <is>
          <t>Kingshot</t>
        </is>
      </c>
      <c r="C9" s="20" t="inlineStr">
        <is>
          <t>Century Games</t>
        </is>
      </c>
      <c r="D9" s="20" t="inlineStr">
        <is>
          <t>4X-выживание</t>
        </is>
      </c>
      <c r="E9" s="20" t="inlineStr">
        <is>
          <t>42 млн загрузок за ~12 месяцев</t>
        </is>
      </c>
      <c r="F9" s="20" t="inlineStr">
        <is>
          <t>Обгоняет Whiteout Survival по загрузкам на 56% (февраль 2026)</t>
        </is>
      </c>
      <c r="G9" s="22" t="n">
        <v>5</v>
      </c>
      <c r="H9" s="20" t="inlineStr">
        <is>
          <t>Показывает, что survival-4X можно масштабировать по трафику, а не только по ARPU</t>
        </is>
      </c>
    </row>
    <row r="10" ht="42" customHeight="1">
      <c r="A10" s="7" t="n">
        <v>7</v>
      </c>
      <c r="B10" s="7" t="inlineStr">
        <is>
          <t>Survivor.io</t>
        </is>
      </c>
      <c r="C10" s="7" t="inlineStr">
        <is>
          <t>Habby</t>
        </is>
      </c>
      <c r="D10" s="7" t="inlineStr">
        <is>
          <t>2D top-down roguelite</t>
        </is>
      </c>
      <c r="E10" s="7" t="inlineStr">
        <is>
          <t>&gt; 80 млн установок (к середине 2025)</t>
        </is>
      </c>
      <c r="F10" s="7" t="inlineStr">
        <is>
          <t>На старте: 37 млн загрузок и $75 млн за 2 месяца</t>
        </is>
      </c>
      <c r="G10" s="19" t="n">
        <v>4</v>
      </c>
      <c r="H10" s="7" t="inlineStr">
        <is>
          <t>ЭТАЛОН вирусности для 2D top-down: простое управление одним пальцем + TikTok-креативы</t>
        </is>
      </c>
    </row>
    <row r="11" ht="42" customHeight="1">
      <c r="A11" s="20" t="n">
        <v>8</v>
      </c>
      <c r="B11" s="20" t="inlineStr">
        <is>
          <t>Last Day on Earth: Survival</t>
        </is>
      </c>
      <c r="C11" s="20" t="inlineStr">
        <is>
          <t>Kefir</t>
        </is>
      </c>
      <c r="D11" s="20" t="inlineStr">
        <is>
          <t>Top-down выживание-крафт</t>
        </is>
      </c>
      <c r="E11" s="20" t="inlineStr">
        <is>
          <t>Десятки млн установок (точные данные закрыты)</t>
        </is>
      </c>
      <c r="F11" s="20" t="inlineStr">
        <is>
          <t>Многолетний лидер ниши зомби-выживания</t>
        </is>
      </c>
      <c r="G11" s="22" t="n">
        <v>5</v>
      </c>
      <c r="H11" s="20" t="inlineStr">
        <is>
          <t>Ближайший аналог по геймплею; проверенная воронка UA в нише</t>
        </is>
      </c>
    </row>
    <row r="12">
      <c r="A12" s="14" t="n"/>
      <c r="B12" s="11" t="inlineStr">
        <is>
          <t>Средняя релевантность лидеров загрузок</t>
        </is>
      </c>
      <c r="C12" s="14" t="n"/>
      <c r="D12" s="14" t="n"/>
      <c r="E12" s="14" t="n"/>
      <c r="F12" s="14" t="n"/>
      <c r="G12" s="24">
        <f>AVERAGE(G4:G11)</f>
        <v/>
      </c>
      <c r="H12" s="14" t="n"/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6" customWidth="1" min="5" max="5"/>
    <col width="22" customWidth="1" min="6" max="6"/>
    <col width="28" customWidth="1" min="7" max="7"/>
    <col width="28" customWidth="1" min="8" max="8"/>
    <col width="24" customWidth="1" min="9" max="9"/>
    <col width="42" customWidth="1" min="10" max="10"/>
    <col width="50" customWidth="1" min="11" max="11"/>
    <col width="34" customWidth="1" min="12" max="12"/>
  </cols>
  <sheetData>
    <row r="1" ht="30" customHeight="1">
      <c r="A1" s="1" t="inlineStr">
        <is>
          <t>Референсы под ваш концепт: 2D, движение по X/Y, freemium, постапокалипсис, ферма + автоматизация + мирный город</t>
        </is>
      </c>
    </row>
    <row r="2" ht="26" customHeight="1">
      <c r="A2" s="2" t="inlineStr">
        <is>
          <t>22 игры, сгруппированные по категориям A–F. Финансовые данные — оценки аналитиков; «н/д» означает, что публичных данных нет.</t>
        </is>
      </c>
    </row>
    <row r="3" ht="42" customHeight="1">
      <c r="A3" s="4" t="inlineStr">
        <is>
          <t>№</t>
        </is>
      </c>
      <c r="B3" s="4" t="inlineStr">
        <is>
          <t>Игра</t>
        </is>
      </c>
      <c r="C3" s="4" t="inlineStr">
        <is>
          <t>Разработчик / издатель</t>
        </is>
      </c>
      <c r="D3" s="4" t="inlineStr">
        <is>
          <t>Категория</t>
        </is>
      </c>
      <c r="E3" s="4" t="inlineStr">
        <is>
          <t>Перспектива и управление</t>
        </is>
      </c>
      <c r="F3" s="4" t="inlineStr">
        <is>
          <t>Графика</t>
        </is>
      </c>
      <c r="G3" s="4" t="inlineStr">
        <is>
          <t>Монетизация</t>
        </is>
      </c>
      <c r="H3" s="4" t="inlineStr">
        <is>
          <t>Выручка (оценка)</t>
        </is>
      </c>
      <c r="I3" s="4" t="inlineStr">
        <is>
          <t>Загрузки (оценка)</t>
        </is>
      </c>
      <c r="J3" s="4" t="inlineStr">
        <is>
          <t>Ключевые механики</t>
        </is>
      </c>
      <c r="K3" s="4" t="inlineStr">
        <is>
          <t>Что забрать в свою игру</t>
        </is>
      </c>
      <c r="L3" s="4" t="inlineStr">
        <is>
          <t>Риск / ограничение</t>
        </is>
      </c>
    </row>
    <row r="4" ht="56" customHeight="1">
      <c r="A4" s="7" t="n">
        <v>1</v>
      </c>
      <c r="B4" s="7" t="inlineStr">
        <is>
          <t>Whiteout Survival</t>
        </is>
      </c>
      <c r="C4" s="7" t="inlineStr">
        <is>
          <t>Century Games</t>
        </is>
      </c>
      <c r="D4" s="7" t="inlineStr">
        <is>
          <t>A. Топ-грос 4X-выживание</t>
        </is>
      </c>
      <c r="E4" s="7" t="inlineStr">
        <is>
          <t>Изометрия, тап по карте</t>
        </is>
      </c>
      <c r="F4" s="7" t="inlineStr">
        <is>
          <t>3D-стилизованная</t>
        </is>
      </c>
      <c r="G4" s="7" t="inlineStr">
        <is>
          <t>F2P: премиум-валюта, наборы, VIP, пропуск</t>
        </is>
      </c>
      <c r="H4" s="7" t="inlineStr">
        <is>
          <t>~$110 млн/мес; &gt; $3 млрд lifetime</t>
        </is>
      </c>
      <c r="I4" s="7" t="inlineStr">
        <is>
          <t>Десятки млн MAU, ~2 млн DAU</t>
        </is>
      </c>
      <c r="J4" s="7" t="inlineStr">
        <is>
          <t>Постройка города, обогрев, ресурсы, герои, альянсы, PvP, сезоны</t>
        </is>
      </c>
      <c r="K4" s="7" t="inlineStr">
        <is>
          <t>Структура экономики и live-ops: ежедневные ивенты, сезоны, альянсовые цели</t>
        </is>
      </c>
      <c r="L4" s="7" t="inlineStr">
        <is>
          <t>Нет 2D и нет прямого управления персонажем</t>
        </is>
      </c>
    </row>
    <row r="5" ht="56" customHeight="1">
      <c r="A5" s="20" t="n">
        <v>2</v>
      </c>
      <c r="B5" s="20" t="inlineStr">
        <is>
          <t>Kingshot</t>
        </is>
      </c>
      <c r="C5" s="20" t="inlineStr">
        <is>
          <t>Century Games</t>
        </is>
      </c>
      <c r="D5" s="20" t="inlineStr">
        <is>
          <t>A. Топ-грос 4X-выживание</t>
        </is>
      </c>
      <c r="E5" s="20" t="inlineStr">
        <is>
          <t>Изометрия + tower defense</t>
        </is>
      </c>
      <c r="F5" s="20" t="inlineStr">
        <is>
          <t>3D-стилизованная</t>
        </is>
      </c>
      <c r="G5" s="20" t="inlineStr">
        <is>
          <t>F2P: валюта, наборы, VIP</t>
        </is>
      </c>
      <c r="H5" s="20" t="inlineStr">
        <is>
          <t>$811,9 млн за 12 месяцев; пик $102,2 млн/мес</t>
        </is>
      </c>
      <c r="I5" s="20" t="inlineStr">
        <is>
          <t>42 млн загрузок за год</t>
        </is>
      </c>
      <c r="J5" s="20" t="inlineStr">
        <is>
          <t>Idle + защита базы + 4X-мета</t>
        </is>
      </c>
      <c r="K5" s="20" t="inlineStr">
        <is>
          <t>Гибрид: быстрая экшн-петля на входе, 4X-мета на удержании</t>
        </is>
      </c>
      <c r="L5" s="20" t="inlineStr">
        <is>
          <t>Сеттинг средневековый, не постапокалипсис</t>
        </is>
      </c>
    </row>
    <row r="6" ht="56" customHeight="1">
      <c r="A6" s="7" t="n">
        <v>3</v>
      </c>
      <c r="B6" s="7" t="inlineStr">
        <is>
          <t>Last War: Survival</t>
        </is>
      </c>
      <c r="C6" s="7" t="inlineStr">
        <is>
          <t>First Fun (FunFly)</t>
        </is>
      </c>
      <c r="D6" s="7" t="inlineStr">
        <is>
          <t>A. Топ-грос 4X-выживание</t>
        </is>
      </c>
      <c r="E6" s="7" t="inlineStr">
        <is>
          <t>Изометрия</t>
        </is>
      </c>
      <c r="F6" s="7" t="inlineStr">
        <is>
          <t>3D</t>
        </is>
      </c>
      <c r="G6" s="7" t="inlineStr">
        <is>
          <t>F2P: валюта, наборы, пропуск</t>
        </is>
      </c>
      <c r="H6" s="7" t="inlineStr">
        <is>
          <t>$71 млн/мес (июнь 2026)</t>
        </is>
      </c>
      <c r="I6" s="7" t="inlineStr">
        <is>
          <t>Сотни млн установок</t>
        </is>
      </c>
      <c r="J6" s="7" t="inlineStr">
        <is>
          <t>Мини-игра «ворота» + 4X-база + зомби-сеттинг</t>
        </is>
      </c>
      <c r="K6" s="7" t="inlineStr">
        <is>
          <t>Механика UA: casual-крючок в креативах ведёт в мидкор</t>
        </is>
      </c>
      <c r="L6" s="7" t="inlineStr">
        <is>
          <t>Падение выручки — жанр перегрет</t>
        </is>
      </c>
    </row>
    <row r="7" ht="56" customHeight="1">
      <c r="A7" s="20" t="n">
        <v>4</v>
      </c>
      <c r="B7" s="20" t="inlineStr">
        <is>
          <t>State of Survival</t>
        </is>
      </c>
      <c r="C7" s="20" t="inlineStr">
        <is>
          <t>FunPlus / KingsGroup</t>
        </is>
      </c>
      <c r="D7" s="20" t="inlineStr">
        <is>
          <t>A. Топ-грос 4X-выживание</t>
        </is>
      </c>
      <c r="E7" s="20" t="inlineStr">
        <is>
          <t>Изометрия</t>
        </is>
      </c>
      <c r="F7" s="20" t="inlineStr">
        <is>
          <t>3D-стилизованная</t>
        </is>
      </c>
      <c r="G7" s="20" t="inlineStr">
        <is>
          <t>F2P: валюта, наборы, пропуск</t>
        </is>
      </c>
      <c r="H7" s="20" t="inlineStr">
        <is>
          <t>$1,69 млрд lifetime; $63 млн за 2025</t>
        </is>
      </c>
      <c r="I7" s="20" t="inlineStr">
        <is>
          <t>Сотни млн установок</t>
        </is>
      </c>
      <c r="J7" s="20" t="inlineStr">
        <is>
          <t>Зомби-постапокалипсис, поселение, герои, альянсы, коллаборации (The Walking Dead)</t>
        </is>
      </c>
      <c r="K7" s="20" t="inlineStr">
        <is>
          <t>IP-коллаборации как инструмент возврата аудитории</t>
        </is>
      </c>
      <c r="L7" s="20" t="inlineStr">
        <is>
          <t>Проект прошёл пик</t>
        </is>
      </c>
    </row>
    <row r="8" ht="56" customHeight="1">
      <c r="A8" s="7" t="n">
        <v>5</v>
      </c>
      <c r="B8" s="7" t="inlineStr">
        <is>
          <t>Doomsday: Last Survivors</t>
        </is>
      </c>
      <c r="C8" s="7" t="inlineStr">
        <is>
          <t>IGG</t>
        </is>
      </c>
      <c r="D8" s="7" t="inlineStr">
        <is>
          <t>A. Топ-грос 4X-выживание</t>
        </is>
      </c>
      <c r="E8" s="7" t="inlineStr">
        <is>
          <t>Изометрия</t>
        </is>
      </c>
      <c r="F8" s="7" t="inlineStr">
        <is>
          <t>3D</t>
        </is>
      </c>
      <c r="G8" s="7" t="inlineStr">
        <is>
          <t>F2P: валюта, наборы</t>
        </is>
      </c>
      <c r="H8" s="7" t="inlineStr">
        <is>
          <t>HK$1,14 млрд за год; рекорд HK$130 млн/мес</t>
        </is>
      </c>
      <c r="I8" s="7" t="inlineStr">
        <is>
          <t>н/д</t>
        </is>
      </c>
      <c r="J8" s="7" t="inlineStr">
        <is>
          <t>Постапокалипсис, база, союзы, PvP</t>
        </is>
      </c>
      <c r="K8" s="7" t="inlineStr">
        <is>
          <t>Доказательство, что постапок-4X растёт даже в 2026 (+12% г/г)</t>
        </is>
      </c>
      <c r="L8" s="7" t="inlineStr">
        <is>
          <t>Высокая конкуренция</t>
        </is>
      </c>
    </row>
    <row r="9" ht="56" customHeight="1">
      <c r="A9" s="20" t="n">
        <v>6</v>
      </c>
      <c r="B9" s="20" t="inlineStr">
        <is>
          <t>LifeAfter</t>
        </is>
      </c>
      <c r="C9" s="20" t="inlineStr">
        <is>
          <t>NetEase</t>
        </is>
      </c>
      <c r="D9" s="20" t="inlineStr">
        <is>
          <t>B. F2P выживание-крафт</t>
        </is>
      </c>
      <c r="E9" s="20" t="inlineStr">
        <is>
          <t>3D от третьего лица</t>
        </is>
      </c>
      <c r="F9" s="20" t="inlineStr">
        <is>
          <t>3D</t>
        </is>
      </c>
      <c r="G9" s="20" t="inlineStr">
        <is>
          <t>F2P: валюта, наборы, косметика</t>
        </is>
      </c>
      <c r="H9" s="20" t="inlineStr">
        <is>
          <t>$125 млн+ (97% — Китай)</t>
        </is>
      </c>
      <c r="I9" s="20" t="inlineStr">
        <is>
          <t>Десятки млн</t>
        </is>
      </c>
      <c r="J9" s="20" t="inlineStr">
        <is>
          <t>Выживание, крафт, дом, ГОРОД-ХАБ «Осень», торговля, задания</t>
        </is>
      </c>
      <c r="K9" s="20" t="inlineStr">
        <is>
          <t>ЭТАЛОН мирного города-хаба: торговля игроков + миссии + социальные точки</t>
        </is>
      </c>
      <c r="L9" s="20" t="inlineStr">
        <is>
          <t>3D-графика и высокий бюджет</t>
        </is>
      </c>
    </row>
    <row r="10" ht="56" customHeight="1">
      <c r="A10" s="7" t="n">
        <v>7</v>
      </c>
      <c r="B10" s="7" t="inlineStr">
        <is>
          <t>Last Day on Earth: Survival</t>
        </is>
      </c>
      <c r="C10" s="7" t="inlineStr">
        <is>
          <t>Kefir</t>
        </is>
      </c>
      <c r="D10" s="7" t="inlineStr">
        <is>
          <t>B. F2P выживание-крафт</t>
        </is>
      </c>
      <c r="E10" s="7" t="inlineStr">
        <is>
          <t>Top-down, стик — движение по X/Y</t>
        </is>
      </c>
      <c r="F10" s="7" t="inlineStr">
        <is>
          <t>2.5D, стилизованная</t>
        </is>
      </c>
      <c r="G10" s="7" t="inlineStr">
        <is>
          <t>F2P: премиум-валюта, ускорители, наборы, пропуск</t>
        </is>
      </c>
      <c r="H10" s="7" t="inlineStr">
        <is>
          <t>н/д (оценка: десятки млн $ в год)</t>
        </is>
      </c>
      <c r="I10" s="7" t="inlineStr">
        <is>
          <t>Десятки млн установок</t>
        </is>
      </c>
      <c r="J10" s="7" t="inlineStr">
        <is>
          <t>Вылазки по локациям, крафт, база, грядки, транспорт, рейды</t>
        </is>
      </c>
      <c r="K10" s="7" t="inlineStr">
        <is>
          <t>ГЛАВНЫЙ РЕФЕРЕНС: управление, петля «вылазка → база → апгрейд», монетизация ускорителей</t>
        </is>
      </c>
      <c r="L10" s="7" t="inlineStr">
        <is>
          <t>Устаревший UX, жёсткий гринд</t>
        </is>
      </c>
    </row>
    <row r="11" ht="56" customHeight="1">
      <c r="A11" s="20" t="n">
        <v>8</v>
      </c>
      <c r="B11" s="20" t="inlineStr">
        <is>
          <t>Grim Soul: Dark Survival RPG</t>
        </is>
      </c>
      <c r="C11" s="20" t="inlineStr">
        <is>
          <t>Brickworks Games</t>
        </is>
      </c>
      <c r="D11" s="20" t="inlineStr">
        <is>
          <t>B. F2P выживание-крафт</t>
        </is>
      </c>
      <c r="E11" s="20" t="inlineStr">
        <is>
          <t>Top-down, стик</t>
        </is>
      </c>
      <c r="F11" s="20" t="inlineStr">
        <is>
          <t>2.5D тёмное фэнтези</t>
        </is>
      </c>
      <c r="G11" s="20" t="inlineStr">
        <is>
          <t>F2P: валюта, наборы, подписка</t>
        </is>
      </c>
      <c r="H11" s="20" t="inlineStr">
        <is>
          <t>Небольшая, но стабильная (нишевая)</t>
        </is>
      </c>
      <c r="I11" s="20" t="inlineStr">
        <is>
          <t>10 млн+ установок</t>
        </is>
      </c>
      <c r="J11" s="20" t="inlineStr">
        <is>
          <t>Тот же каркас, что LDoE, но в тёмном фэнтези</t>
        </is>
      </c>
      <c r="K11" s="20" t="inlineStr">
        <is>
          <t>Пример успешного «реskin» проверенного каркаса под другой сеттинг</t>
        </is>
      </c>
      <c r="L11" s="20" t="inlineStr">
        <is>
          <t>Небольшой масштаб выручки</t>
        </is>
      </c>
    </row>
    <row r="12" ht="56" customHeight="1">
      <c r="A12" s="7" t="n">
        <v>9</v>
      </c>
      <c r="B12" s="7" t="inlineStr">
        <is>
          <t>Dawn of Zombies: Survival</t>
        </is>
      </c>
      <c r="C12" s="7" t="inlineStr">
        <is>
          <t>Royal Ark</t>
        </is>
      </c>
      <c r="D12" s="7" t="inlineStr">
        <is>
          <t>B. F2P выживание-крафт</t>
        </is>
      </c>
      <c r="E12" s="7" t="inlineStr">
        <is>
          <t>Top-down, стик</t>
        </is>
      </c>
      <c r="F12" s="7" t="inlineStr">
        <is>
          <t>2.5D постапокалипсис</t>
        </is>
      </c>
      <c r="G12" s="7" t="inlineStr">
        <is>
          <t>F2P: валюта, наборы, подписка</t>
        </is>
      </c>
      <c r="H12" s="7" t="inlineStr">
        <is>
          <t>Нишевая</t>
        </is>
      </c>
      <c r="I12" s="7" t="inlineStr">
        <is>
          <t>10 млн+ (≈14 млн) установок</t>
        </is>
      </c>
      <c r="J12" s="7" t="inlineStr">
        <is>
          <t>Постъядерный мир, радиация, фракции, NPC-квесты, база, фермерство</t>
        </is>
      </c>
      <c r="K12" s="7" t="inlineStr">
        <is>
          <t>Фракции и NPC-квесты как источник контента вне гринда</t>
        </is>
      </c>
      <c r="L12" s="7" t="inlineStr">
        <is>
          <t>Слабая ретенция, много багов по отзывам</t>
        </is>
      </c>
    </row>
    <row r="13" ht="56" customHeight="1">
      <c r="A13" s="20" t="n">
        <v>10</v>
      </c>
      <c r="B13" s="20" t="inlineStr">
        <is>
          <t>Days After: Zombie Survival</t>
        </is>
      </c>
      <c r="C13" s="20" t="inlineStr">
        <is>
          <t>Alternativa Games</t>
        </is>
      </c>
      <c r="D13" s="20" t="inlineStr">
        <is>
          <t>B. F2P выживание-крафт</t>
        </is>
      </c>
      <c r="E13" s="20" t="inlineStr">
        <is>
          <t>Top-down, стик</t>
        </is>
      </c>
      <c r="F13" s="20" t="inlineStr">
        <is>
          <t>2.5D</t>
        </is>
      </c>
      <c r="G13" s="20" t="inlineStr">
        <is>
          <t>F2P: валюта, наборы</t>
        </is>
      </c>
      <c r="H13" s="20" t="inlineStr">
        <is>
          <t>Нишевая</t>
        </is>
      </c>
      <c r="I13" s="20" t="inlineStr">
        <is>
          <t>10 млн+ (≈18 млн) установок</t>
        </is>
      </c>
      <c r="J13" s="20" t="inlineStr">
        <is>
          <t>Выживание, крафт, база, зомби</t>
        </is>
      </c>
      <c r="K13" s="20" t="inlineStr">
        <is>
          <t>Подтверждение спроса: даже средние игры ниши берут 10+ млн установок</t>
        </is>
      </c>
      <c r="L13" s="20" t="inlineStr">
        <is>
          <t>Клон-рынок, сложно выделиться</t>
        </is>
      </c>
    </row>
    <row r="14" ht="56" customHeight="1">
      <c r="A14" s="7" t="n">
        <v>11</v>
      </c>
      <c r="B14" s="7" t="inlineStr">
        <is>
          <t>Fallout Shelter</t>
        </is>
      </c>
      <c r="C14" s="7" t="inlineStr">
        <is>
          <t>Bethesda</t>
        </is>
      </c>
      <c r="D14" s="7" t="inlineStr">
        <is>
          <t>F. 2D-строительство базы</t>
        </is>
      </c>
      <c r="E14" s="7" t="inlineStr">
        <is>
          <t>2D вид сбоку, «разрез» убежища</t>
        </is>
      </c>
      <c r="F14" s="7" t="inlineStr">
        <is>
          <t>2D мультяшная, очень чистая</t>
        </is>
      </c>
      <c r="G14" s="7" t="inlineStr">
        <is>
          <t>F2P: ланчбоксы (лутбоксы), без рекламы</t>
        </is>
      </c>
      <c r="H14" s="7" t="inlineStr">
        <is>
          <t>&gt; $90 млн lifetime</t>
        </is>
      </c>
      <c r="I14" s="7" t="inlineStr">
        <is>
          <t>100 млн+ загрузок</t>
        </is>
      </c>
      <c r="J14" s="7" t="inlineStr">
        <is>
          <t>Строительство комнат, распределение жителей, производство, вылазки в пустошь</t>
        </is>
      </c>
      <c r="K14" s="7" t="inlineStr">
        <is>
          <t>ЭТАЛОН 2D-подачи постапокалипсиса и мягкой монетизации без давления</t>
        </is>
      </c>
      <c r="L14" s="7" t="inlineStr">
        <is>
          <t>Нет прямого управления персонажем по X/Y</t>
        </is>
      </c>
    </row>
    <row r="15" ht="56" customHeight="1">
      <c r="A15" s="20" t="n">
        <v>12</v>
      </c>
      <c r="B15" s="20" t="inlineStr">
        <is>
          <t>Sheltered 2</t>
        </is>
      </c>
      <c r="C15" s="20" t="inlineStr">
        <is>
          <t>Unicube / Team17</t>
        </is>
      </c>
      <c r="D15" s="20" t="inlineStr">
        <is>
          <t>F. 2D-строительство базы</t>
        </is>
      </c>
      <c r="E15" s="20" t="inlineStr">
        <is>
          <t>2D вид сбоку, бункер</t>
        </is>
      </c>
      <c r="F15" s="20" t="inlineStr">
        <is>
          <t>2D пиксель-арт</t>
        </is>
      </c>
      <c r="G15" s="20" t="inlineStr">
        <is>
          <t>Premium (разовая покупка)</t>
        </is>
      </c>
      <c r="H15" s="20" t="inlineStr">
        <is>
          <t>Нишевая (PC/консоли)</t>
        </is>
      </c>
      <c r="I15" s="20" t="inlineStr">
        <is>
          <t>Сотни тысяч</t>
        </is>
      </c>
      <c r="J15" s="20" t="inlineStr">
        <is>
          <t>Бункер, ресурсы, мораль, вылазки, крафт</t>
        </is>
      </c>
      <c r="K15" s="20" t="inlineStr">
        <is>
          <t>Атмосфера и менеджмент выживших; дизайн UI бункера</t>
        </is>
      </c>
      <c r="L15" s="20" t="inlineStr">
        <is>
          <t>Premium-модель не подходит под ваше ТЗ</t>
        </is>
      </c>
    </row>
    <row r="16" ht="56" customHeight="1">
      <c r="A16" s="7" t="n">
        <v>13</v>
      </c>
      <c r="B16" s="7" t="inlineStr">
        <is>
          <t>DYSMANTLE</t>
        </is>
      </c>
      <c r="C16" s="7" t="inlineStr">
        <is>
          <t>10tons</t>
        </is>
      </c>
      <c r="D16" s="7" t="inlineStr">
        <is>
          <t>C. 2D премиум выживание</t>
        </is>
      </c>
      <c r="E16" s="7" t="inlineStr">
        <is>
          <t>Top-down, движение по X/Y</t>
        </is>
      </c>
      <c r="F16" s="7" t="inlineStr">
        <is>
          <t>2D top-down, современная</t>
        </is>
      </c>
      <c r="G16" s="7" t="inlineStr">
        <is>
          <t>Premium + DLC</t>
        </is>
      </c>
      <c r="H16" s="7" t="inlineStr">
        <is>
          <t>Оценочно $5–15 млн (все платформы)</t>
        </is>
      </c>
      <c r="I16" s="7" t="inlineStr">
        <is>
          <t>Сотни тысяч на мобильных</t>
        </is>
      </c>
      <c r="J16" s="7" t="inlineStr">
        <is>
          <t>Разрушаемость всего окружения, крафт, база, огород, открытый мир</t>
        </is>
      </c>
      <c r="K16" s="7" t="inlineStr">
        <is>
          <t>Механика «разбери мир на ресурсы» — сильнейший крючок для лутинга</t>
        </is>
      </c>
      <c r="L16" s="7" t="inlineStr">
        <is>
          <t>Premium; на мобильных монетизация слабая</t>
        </is>
      </c>
    </row>
    <row r="17" ht="56" customHeight="1">
      <c r="A17" s="20" t="n">
        <v>14</v>
      </c>
      <c r="B17" s="20" t="inlineStr">
        <is>
          <t>Terraria (mobile)</t>
        </is>
      </c>
      <c r="C17" s="20" t="inlineStr">
        <is>
          <t>Re-Logic / DR Studios</t>
        </is>
      </c>
      <c r="D17" s="20" t="inlineStr">
        <is>
          <t>C. 2D премиум выживание</t>
        </is>
      </c>
      <c r="E17" s="20" t="inlineStr">
        <is>
          <t>2D сайд-скроллер, движение по X/Y</t>
        </is>
      </c>
      <c r="F17" s="20" t="inlineStr">
        <is>
          <t>2D пиксель-арт, эталон</t>
        </is>
      </c>
      <c r="G17" s="20" t="inlineStr">
        <is>
          <t>Premium (платная загрузка)</t>
        </is>
      </c>
      <c r="H17" s="20" t="inlineStr">
        <is>
          <t>$36 млн только на мобильных</t>
        </is>
      </c>
      <c r="I17" s="20" t="inlineStr">
        <is>
          <t>Десятки млн копий (все платформы)</t>
        </is>
      </c>
      <c r="J17" s="20" t="inlineStr">
        <is>
          <t>Крафт, строительство, боссы, ГОРОД NPC с торговлей и квестами</t>
        </is>
      </c>
      <c r="K17" s="20" t="inlineStr">
        <is>
          <t>ЭТАЛОН мирного города: NPC заселяются в построенные дома, дают торговлю и квесты</t>
        </is>
      </c>
      <c r="L17" s="20" t="inlineStr">
        <is>
          <t>Premium-модель; глубина требует большого контента</t>
        </is>
      </c>
    </row>
    <row r="18" ht="56" customHeight="1">
      <c r="A18" s="7" t="n">
        <v>15</v>
      </c>
      <c r="B18" s="7" t="inlineStr">
        <is>
          <t>Project Zomboid (mobile, 2026)</t>
        </is>
      </c>
      <c r="C18" s="7" t="inlineStr">
        <is>
          <t>The Indie Stone</t>
        </is>
      </c>
      <c r="D18" s="7" t="inlineStr">
        <is>
          <t>C. 2D премиум выживание</t>
        </is>
      </c>
      <c r="E18" s="7" t="inlineStr">
        <is>
          <t>Изометрия 2D, движение по X/Y</t>
        </is>
      </c>
      <c r="F18" s="7" t="inlineStr">
        <is>
          <t>2D пиксель-арт</t>
        </is>
      </c>
      <c r="G18" s="7" t="inlineStr">
        <is>
          <t>Premium</t>
        </is>
      </c>
      <c r="H18" s="7" t="inlineStr">
        <is>
          <t>н/д на мобильных (на PC — многомиллионные продажи)</t>
        </is>
      </c>
      <c r="I18" s="7" t="inlineStr">
        <is>
          <t>Свежий релиз 2026</t>
        </is>
      </c>
      <c r="J18" s="7" t="inlineStr">
        <is>
          <t>Хардкорное выживание, зомби, база, фермерство, навыки</t>
        </is>
      </c>
      <c r="K18" s="7" t="inlineStr">
        <is>
          <t>Хардкорная симуляция и системы навыков; аудитория ждёт этого на мобильных</t>
        </is>
      </c>
      <c r="L18" s="7" t="inlineStr">
        <is>
          <t>Слишком хардкорно для F2P-масс-маркета</t>
        </is>
      </c>
    </row>
    <row r="19" ht="56" customHeight="1">
      <c r="A19" s="20" t="n">
        <v>16</v>
      </c>
      <c r="B19" s="20" t="inlineStr">
        <is>
          <t>Mindustry</t>
        </is>
      </c>
      <c r="C19" s="20" t="inlineStr">
        <is>
          <t>Anuke</t>
        </is>
      </c>
      <c r="D19" s="20" t="inlineStr">
        <is>
          <t>D. 2D автоматизация</t>
        </is>
      </c>
      <c r="E19" s="20" t="inlineStr">
        <is>
          <t>Top-down, тактическая камера</t>
        </is>
      </c>
      <c r="F19" s="20" t="inlineStr">
        <is>
          <t>2D пиксель-арт</t>
        </is>
      </c>
      <c r="G19" s="20" t="inlineStr">
        <is>
          <t>Бесплатная (open source), донаты</t>
        </is>
      </c>
      <c r="H19" s="20" t="inlineStr">
        <is>
          <t>Steam: ~$9,7 млн gross</t>
        </is>
      </c>
      <c r="I19" s="20" t="inlineStr">
        <is>
          <t>Миллионы установок на Android</t>
        </is>
      </c>
      <c r="J19" s="20" t="inlineStr">
        <is>
          <t>Конвейеры, заводы, логистика ресурсов, оборона базы волнами</t>
        </is>
      </c>
      <c r="K19" s="20" t="inlineStr">
        <is>
          <t>ЭТАЛОН автоматизации в 2D: конвейеры + производственные цепочки, понятные с телефона</t>
        </is>
      </c>
      <c r="L19" s="20" t="inlineStr">
        <is>
          <t>Нет монетизации; сложный онбординг</t>
        </is>
      </c>
    </row>
    <row r="20" ht="56" customHeight="1">
      <c r="A20" s="7" t="n">
        <v>17</v>
      </c>
      <c r="B20" s="7" t="inlineStr">
        <is>
          <t>Deep Town: Idle Mining Tycoon</t>
        </is>
      </c>
      <c r="C20" s="7" t="inlineStr">
        <is>
          <t>Rockbite Games</t>
        </is>
      </c>
      <c r="D20" s="7" t="inlineStr">
        <is>
          <t>D. 2D автоматизация</t>
        </is>
      </c>
      <c r="E20" s="7" t="inlineStr">
        <is>
          <t>2D вид сбоку (шахта), без движения персонажа</t>
        </is>
      </c>
      <c r="F20" s="7" t="inlineStr">
        <is>
          <t>2D, чистая стилизация</t>
        </is>
      </c>
      <c r="G20" s="7" t="inlineStr">
        <is>
          <t>F2P: валюта, ускорители, реклама</t>
        </is>
      </c>
      <c r="H20" s="7" t="inlineStr">
        <is>
          <t>Стабильная нишевая (годы в топах idle)</t>
        </is>
      </c>
      <c r="I20" s="7" t="inlineStr">
        <is>
          <t>10 млн+ установок</t>
        </is>
      </c>
      <c r="J20" s="7" t="inlineStr">
        <is>
          <t>Добыча, дроны-автоматизация, 5+ производственных зданий, теплица, оффлайн-доход</t>
        </is>
      </c>
      <c r="K20" s="7" t="inlineStr">
        <is>
          <t>ЛУЧШИЙ F2P-пример монетизации автоматизации: слоты дронов, ускорители, оффлайн-прогресс</t>
        </is>
      </c>
      <c r="L20" s="7" t="inlineStr">
        <is>
          <t>Нет боёвки и движения персонажа</t>
        </is>
      </c>
    </row>
    <row r="21" ht="56" customHeight="1">
      <c r="A21" s="20" t="n">
        <v>18</v>
      </c>
      <c r="B21" s="20" t="inlineStr">
        <is>
          <t>Forager</t>
        </is>
      </c>
      <c r="C21" s="20" t="inlineStr">
        <is>
          <t>HopFrog</t>
        </is>
      </c>
      <c r="D21" s="20" t="inlineStr">
        <is>
          <t>D. 2D автоматизация</t>
        </is>
      </c>
      <c r="E21" s="20" t="inlineStr">
        <is>
          <t>Top-down, движение по X/Y</t>
        </is>
      </c>
      <c r="F21" s="20" t="inlineStr">
        <is>
          <t>2D пиксель-арт</t>
        </is>
      </c>
      <c r="G21" s="20" t="inlineStr">
        <is>
          <t>Premium</t>
        </is>
      </c>
      <c r="H21" s="20" t="inlineStr">
        <is>
          <t>Оценочно $10–20 млн (все платформы)</t>
        </is>
      </c>
      <c r="I21" s="20" t="inlineStr">
        <is>
          <t>Сотни тысяч на мобильных</t>
        </is>
      </c>
      <c r="J21" s="20" t="inlineStr">
        <is>
          <t>Ферма + добыча + автоматизация производства + расширение земель</t>
        </is>
      </c>
      <c r="K21" s="20" t="inlineStr">
        <is>
          <t>ЭТАЛОН петли «собрал → построил → автоматизировал» в 2D top-down</t>
        </is>
      </c>
      <c r="L21" s="20" t="inlineStr">
        <is>
          <t>Premium; контент заканчивается быстро</t>
        </is>
      </c>
    </row>
    <row r="22" ht="56" customHeight="1">
      <c r="A22" s="7" t="n">
        <v>19</v>
      </c>
      <c r="B22" s="7" t="inlineStr">
        <is>
          <t>Stardew Valley</t>
        </is>
      </c>
      <c r="C22" s="7" t="inlineStr">
        <is>
          <t>ConcernedApe</t>
        </is>
      </c>
      <c r="D22" s="7" t="inlineStr">
        <is>
          <t>D. 2D автоматизация</t>
        </is>
      </c>
      <c r="E22" s="7" t="inlineStr">
        <is>
          <t>Top-down, движение по X/Y</t>
        </is>
      </c>
      <c r="F22" s="7" t="inlineStr">
        <is>
          <t>2D пиксель-арт, эталон</t>
        </is>
      </c>
      <c r="G22" s="7" t="inlineStr">
        <is>
          <t>Premium</t>
        </is>
      </c>
      <c r="H22" s="7" t="inlineStr">
        <is>
          <t>&gt; $1 млн за 3 недели на iOS; &gt; 4,6 млн копий (все платформы)</t>
        </is>
      </c>
      <c r="I22" s="7" t="inlineStr">
        <is>
          <t>Миллионы</t>
        </is>
      </c>
      <c r="J22" s="7" t="inlineStr">
        <is>
          <t>Ферма, сезоны, автоматизация (спринклеры, бочки), мирный ГОРОД с NPC и квестами</t>
        </is>
      </c>
      <c r="K22" s="7" t="inlineStr">
        <is>
          <t>ЭТАЛОН связки «ферма + мирный город + квесты NPC»; сезонность как ритм контента</t>
        </is>
      </c>
      <c r="L22" s="7" t="inlineStr">
        <is>
          <t>Premium; медленный темп несовместим с F2P-воронкой</t>
        </is>
      </c>
    </row>
    <row r="23" ht="56" customHeight="1">
      <c r="A23" s="20" t="n">
        <v>20</v>
      </c>
      <c r="B23" s="20" t="inlineStr">
        <is>
          <t>Core Keeper</t>
        </is>
      </c>
      <c r="C23" s="20" t="inlineStr">
        <is>
          <t>Pugstorm</t>
        </is>
      </c>
      <c r="D23" s="20" t="inlineStr">
        <is>
          <t>D. 2D автоматизация</t>
        </is>
      </c>
      <c r="E23" s="20" t="inlineStr">
        <is>
          <t>Top-down, движение по X/Y</t>
        </is>
      </c>
      <c r="F23" s="20" t="inlineStr">
        <is>
          <t>2D пиксель-арт</t>
        </is>
      </c>
      <c r="G23" s="20" t="inlineStr">
        <is>
          <t>Premium</t>
        </is>
      </c>
      <c r="H23" s="20" t="inlineStr">
        <is>
          <t>Нишевая (миллионы копий на PC/консолях)</t>
        </is>
      </c>
      <c r="I23" s="20" t="inlineStr">
        <is>
          <t>н/д на мобильных</t>
        </is>
      </c>
      <c r="J23" s="20" t="inlineStr">
        <is>
          <t>Копание, база, фермерство, автоматизация, кооп</t>
        </is>
      </c>
      <c r="K23" s="20" t="inlineStr">
        <is>
          <t>Кооперативная база — сильный ретеншн-инструмент</t>
        </is>
      </c>
      <c r="L23" s="20" t="inlineStr">
        <is>
          <t>Premium; мобильная версия ограничена</t>
        </is>
      </c>
    </row>
    <row r="24" ht="56" customHeight="1">
      <c r="A24" s="7" t="n">
        <v>21</v>
      </c>
      <c r="B24" s="7" t="inlineStr">
        <is>
          <t>Harvest Town</t>
        </is>
      </c>
      <c r="C24" s="7" t="inlineStr">
        <is>
          <t>AVID.ly</t>
        </is>
      </c>
      <c r="D24" s="7" t="inlineStr">
        <is>
          <t>D. 2D автоматизация</t>
        </is>
      </c>
      <c r="E24" s="7" t="inlineStr">
        <is>
          <t>Top-down, движение по X/Y</t>
        </is>
      </c>
      <c r="F24" s="7" t="inlineStr">
        <is>
          <t>2D пиксель-арт</t>
        </is>
      </c>
      <c r="G24" s="7" t="inlineStr">
        <is>
          <t>F2P: валюта, наборы, реклама</t>
        </is>
      </c>
      <c r="H24" s="7" t="inlineStr">
        <is>
          <t>Нишевая, но устойчивая</t>
        </is>
      </c>
      <c r="I24" s="7" t="inlineStr">
        <is>
          <t>1 млн+ (Google Play)</t>
        </is>
      </c>
      <c r="J24" s="7" t="inlineStr">
        <is>
          <t>Ферма, рыбалка, шахты, город NPC, торговля, соцфункции</t>
        </is>
      </c>
      <c r="K24" s="7" t="inlineStr">
        <is>
          <t>Доказательство, что 2D-ферма работает в F2P; их система торговли и NPC-города</t>
        </is>
      </c>
      <c r="L24" s="7" t="inlineStr">
        <is>
          <t>Слабая графика и UX по сравнению со Stardew</t>
        </is>
      </c>
    </row>
    <row r="25" ht="56" customHeight="1">
      <c r="A25" s="20" t="n">
        <v>22</v>
      </c>
      <c r="B25" s="20" t="inlineStr">
        <is>
          <t>Survivor.io</t>
        </is>
      </c>
      <c r="C25" s="20" t="inlineStr">
        <is>
          <t>Habby</t>
        </is>
      </c>
      <c r="D25" s="20" t="inlineStr">
        <is>
          <t>E. 2D-экшн F2P</t>
        </is>
      </c>
      <c r="E25" s="20" t="inlineStr">
        <is>
          <t>Top-down, управление одним пальцем по X/Y</t>
        </is>
      </c>
      <c r="F25" s="20" t="inlineStr">
        <is>
          <t>2D, яркая и чистая</t>
        </is>
      </c>
      <c r="G25" s="20" t="inlineStr">
        <is>
          <t>F2P: валюта, снаряжение, пропуск, подписка</t>
        </is>
      </c>
      <c r="H25" s="20" t="inlineStr">
        <is>
          <t>$476 млн lifetime (≈40% выручки Habby)</t>
        </is>
      </c>
      <c r="I25" s="20" t="inlineStr">
        <is>
          <t>80 млн+ установок</t>
        </is>
      </c>
      <c r="J25" s="20" t="inlineStr">
        <is>
          <t>Зомби-апокалипсис, автобой, прокачка снаряжения, сезоны</t>
        </is>
      </c>
      <c r="K25" s="20" t="inlineStr">
        <is>
          <t>ЭТАЛОН управления и «сочности» 2D-боя + вирусные креативы (TikTok)</t>
        </is>
      </c>
      <c r="L25" s="20" t="inlineStr">
        <is>
          <t>Нет строительства, фермы и хаба</t>
        </is>
      </c>
    </row>
  </sheetData>
  <autoFilter ref="A3:L25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4" customWidth="1" min="11" max="11"/>
    <col width="14" customWidth="1" min="12" max="12"/>
    <col width="15" customWidth="1" min="13" max="13"/>
    <col width="8" customWidth="1" min="14" max="14"/>
    <col width="46" customWidth="1" min="15" max="15"/>
    <col width="32" customWidth="1" min="17" max="17"/>
    <col width="10" customWidth="1" min="18" max="18"/>
  </cols>
  <sheetData>
    <row r="1" ht="30" customHeight="1">
      <c r="A1" s="1" t="inlineStr">
        <is>
          <t>Скоринг референсов по вашим критериям (0–10) с весами</t>
        </is>
      </c>
    </row>
    <row r="2" ht="26" customHeight="1">
      <c r="A2" s="2" t="inlineStr">
        <is>
          <t>Названия игр и категории подтягиваются формулами с листа 04_Референсы (зелёный шрифт). Веса в жёлтых ячейках можно менять — итоговые оценки и ранги пересчитаются автоматически.</t>
        </is>
      </c>
      <c r="Q2" s="25" t="inlineStr">
        <is>
          <t>Веса итоговой оценки (можно менять)</t>
        </is>
      </c>
    </row>
    <row r="3">
      <c r="Q3" s="26" t="inlineStr">
        <is>
          <t>Вес соответствия концепту</t>
        </is>
      </c>
      <c r="R3" s="27" t="n">
        <v>0.6</v>
      </c>
    </row>
    <row r="4">
      <c r="C4" s="28" t="inlineStr">
        <is>
          <t>Вес критерия, % →</t>
        </is>
      </c>
      <c r="D4" s="29" t="n">
        <v>15</v>
      </c>
      <c r="E4" s="29" t="n">
        <v>15</v>
      </c>
      <c r="F4" s="29" t="n">
        <v>20</v>
      </c>
      <c r="G4" s="29" t="n">
        <v>15</v>
      </c>
      <c r="H4" s="29" t="n">
        <v>10</v>
      </c>
      <c r="I4" s="29" t="n">
        <v>15</v>
      </c>
      <c r="J4" s="29" t="n">
        <v>10</v>
      </c>
      <c r="K4" s="30">
        <f>SUM(D4:J4)</f>
        <v/>
      </c>
      <c r="L4" s="17" t="inlineStr">
        <is>
          <t>← сумма весов, должна быть 100</t>
        </is>
      </c>
      <c r="Q4" s="26" t="inlineStr">
        <is>
          <t>Вес коммерческого успеха</t>
        </is>
      </c>
      <c r="R4" s="27" t="n">
        <v>0.4</v>
      </c>
    </row>
    <row r="5" ht="64" customHeight="1">
      <c r="A5" s="4" t="inlineStr">
        <is>
          <t>№</t>
        </is>
      </c>
      <c r="B5" s="4" t="inlineStr">
        <is>
          <t>Игра</t>
        </is>
      </c>
      <c r="C5" s="4" t="inlineStr">
        <is>
          <t>Категория</t>
        </is>
      </c>
      <c r="D5" s="4" t="inlineStr">
        <is>
          <t>Движение персонажа по X/Y</t>
        </is>
      </c>
      <c r="E5" s="4" t="inlineStr">
        <is>
          <t>Качество 2D-графики</t>
        </is>
      </c>
      <c r="F5" s="4" t="inlineStr">
        <is>
          <t>Freemium: премиум-предметы и валюта</t>
        </is>
      </c>
      <c r="G5" s="4" t="inlineStr">
        <is>
          <t>Постапокалиптический сеттинг</t>
        </is>
      </c>
      <c r="H5" s="4" t="inlineStr">
        <is>
          <t>Фермерство / выращивание растений</t>
        </is>
      </c>
      <c r="I5" s="4" t="inlineStr">
        <is>
          <t>Строительство + автоматизация</t>
        </is>
      </c>
      <c r="J5" s="4" t="inlineStr">
        <is>
          <t>Мирный город-хаб: обмен и миссии</t>
        </is>
      </c>
      <c r="K5" s="4" t="inlineStr">
        <is>
          <t>Соответствие концепту (0–10)</t>
        </is>
      </c>
      <c r="L5" s="4" t="inlineStr">
        <is>
          <t>Коммерческий успех (0–10)</t>
        </is>
      </c>
      <c r="M5" s="4" t="inlineStr">
        <is>
          <t>ИТОГОВЫЙ ПРИОРИТЕТ (0–10)</t>
        </is>
      </c>
      <c r="N5" s="4" t="inlineStr">
        <is>
          <t>Ранг</t>
        </is>
      </c>
      <c r="O5" s="4" t="inlineStr">
        <is>
          <t>Роль референса</t>
        </is>
      </c>
      <c r="Q5" s="26" t="inlineStr">
        <is>
          <t>Сумма весов (должна быть 100%)</t>
        </is>
      </c>
      <c r="R5" s="31">
        <f>R3+R4</f>
        <v/>
      </c>
    </row>
    <row r="6" ht="30" customHeight="1">
      <c r="A6" s="5" t="n">
        <v>1</v>
      </c>
      <c r="B6" s="32">
        <f>'04_Референсы'!B4</f>
        <v/>
      </c>
      <c r="C6" s="32">
        <f>'04_Референсы'!D4</f>
        <v/>
      </c>
      <c r="D6" s="33" t="n">
        <v>3</v>
      </c>
      <c r="E6" s="33" t="n">
        <v>5</v>
      </c>
      <c r="F6" s="33" t="n">
        <v>10</v>
      </c>
      <c r="G6" s="33" t="n">
        <v>8</v>
      </c>
      <c r="H6" s="33" t="n">
        <v>6</v>
      </c>
      <c r="I6" s="33" t="n">
        <v>9</v>
      </c>
      <c r="J6" s="33" t="n">
        <v>8</v>
      </c>
      <c r="K6" s="34">
        <f>SUMPRODUCT($D6:$J6,$D$4:$J$4)/SUM($D$4:$J$4)</f>
        <v/>
      </c>
      <c r="L6" s="33" t="n">
        <v>10</v>
      </c>
      <c r="M6" s="35">
        <f>$R$3*K6+$R$4*L6</f>
        <v/>
      </c>
      <c r="N6" s="36">
        <f>RANK(M6,$M$6:$M$27,0)</f>
        <v/>
      </c>
      <c r="O6" s="7" t="inlineStr">
        <is>
          <t>Бенчмарк монетизации и live-ops</t>
        </is>
      </c>
    </row>
    <row r="7" ht="30" customHeight="1">
      <c r="A7" s="37" t="n">
        <v>2</v>
      </c>
      <c r="B7" s="38">
        <f>'04_Референсы'!B5</f>
        <v/>
      </c>
      <c r="C7" s="38">
        <f>'04_Референсы'!D5</f>
        <v/>
      </c>
      <c r="D7" s="39" t="n">
        <v>3</v>
      </c>
      <c r="E7" s="39" t="n">
        <v>5</v>
      </c>
      <c r="F7" s="39" t="n">
        <v>10</v>
      </c>
      <c r="G7" s="39" t="n">
        <v>5</v>
      </c>
      <c r="H7" s="39" t="n">
        <v>6</v>
      </c>
      <c r="I7" s="39" t="n">
        <v>9</v>
      </c>
      <c r="J7" s="39" t="n">
        <v>8</v>
      </c>
      <c r="K7" s="34">
        <f>SUMPRODUCT($D7:$J7,$D$4:$J$4)/SUM($D$4:$J$4)</f>
        <v/>
      </c>
      <c r="L7" s="39" t="n">
        <v>10</v>
      </c>
      <c r="M7" s="35">
        <f>$R$3*K7+$R$4*L7</f>
        <v/>
      </c>
      <c r="N7" s="40">
        <f>RANK(M7,$M$6:$M$27,0)</f>
        <v/>
      </c>
      <c r="O7" s="20" t="inlineStr">
        <is>
          <t>Бенчмарк гибридного онбординга</t>
        </is>
      </c>
    </row>
    <row r="8" ht="30" customHeight="1">
      <c r="A8" s="5" t="n">
        <v>3</v>
      </c>
      <c r="B8" s="32">
        <f>'04_Референсы'!B6</f>
        <v/>
      </c>
      <c r="C8" s="32">
        <f>'04_Референсы'!D6</f>
        <v/>
      </c>
      <c r="D8" s="33" t="n">
        <v>4</v>
      </c>
      <c r="E8" s="33" t="n">
        <v>4</v>
      </c>
      <c r="F8" s="33" t="n">
        <v>10</v>
      </c>
      <c r="G8" s="33" t="n">
        <v>7</v>
      </c>
      <c r="H8" s="33" t="n">
        <v>3</v>
      </c>
      <c r="I8" s="33" t="n">
        <v>8</v>
      </c>
      <c r="J8" s="33" t="n">
        <v>7</v>
      </c>
      <c r="K8" s="34">
        <f>SUMPRODUCT($D8:$J8,$D$4:$J$4)/SUM($D$4:$J$4)</f>
        <v/>
      </c>
      <c r="L8" s="33" t="n">
        <v>10</v>
      </c>
      <c r="M8" s="35">
        <f>$R$3*K8+$R$4*L8</f>
        <v/>
      </c>
      <c r="N8" s="36">
        <f>RANK(M8,$M$6:$M$27,0)</f>
        <v/>
      </c>
      <c r="O8" s="7" t="inlineStr">
        <is>
          <t>Бенчмарк UA-воронки</t>
        </is>
      </c>
    </row>
    <row r="9" ht="30" customHeight="1">
      <c r="A9" s="37" t="n">
        <v>4</v>
      </c>
      <c r="B9" s="38">
        <f>'04_Референсы'!B7</f>
        <v/>
      </c>
      <c r="C9" s="38">
        <f>'04_Референсы'!D7</f>
        <v/>
      </c>
      <c r="D9" s="39" t="n">
        <v>3</v>
      </c>
      <c r="E9" s="39" t="n">
        <v>5</v>
      </c>
      <c r="F9" s="39" t="n">
        <v>10</v>
      </c>
      <c r="G9" s="39" t="n">
        <v>9</v>
      </c>
      <c r="H9" s="39" t="n">
        <v>5</v>
      </c>
      <c r="I9" s="39" t="n">
        <v>8</v>
      </c>
      <c r="J9" s="39" t="n">
        <v>8</v>
      </c>
      <c r="K9" s="34">
        <f>SUMPRODUCT($D9:$J9,$D$4:$J$4)/SUM($D$4:$J$4)</f>
        <v/>
      </c>
      <c r="L9" s="39" t="n">
        <v>9</v>
      </c>
      <c r="M9" s="35">
        <f>$R$3*K9+$R$4*L9</f>
        <v/>
      </c>
      <c r="N9" s="40">
        <f>RANK(M9,$M$6:$M$27,0)</f>
        <v/>
      </c>
      <c r="O9" s="20" t="inlineStr">
        <is>
          <t>Бенчмарк постапок-меты и IP-коллабораций</t>
        </is>
      </c>
    </row>
    <row r="10" ht="30" customHeight="1">
      <c r="A10" s="5" t="n">
        <v>5</v>
      </c>
      <c r="B10" s="32">
        <f>'04_Референсы'!B8</f>
        <v/>
      </c>
      <c r="C10" s="32">
        <f>'04_Референсы'!D8</f>
        <v/>
      </c>
      <c r="D10" s="33" t="n">
        <v>3</v>
      </c>
      <c r="E10" s="33" t="n">
        <v>4</v>
      </c>
      <c r="F10" s="33" t="n">
        <v>10</v>
      </c>
      <c r="G10" s="33" t="n">
        <v>9</v>
      </c>
      <c r="H10" s="33" t="n">
        <v>5</v>
      </c>
      <c r="I10" s="33" t="n">
        <v>8</v>
      </c>
      <c r="J10" s="33" t="n">
        <v>8</v>
      </c>
      <c r="K10" s="34">
        <f>SUMPRODUCT($D10:$J10,$D$4:$J$4)/SUM($D$4:$J$4)</f>
        <v/>
      </c>
      <c r="L10" s="33" t="n">
        <v>8</v>
      </c>
      <c r="M10" s="35">
        <f>$R$3*K10+$R$4*L10</f>
        <v/>
      </c>
      <c r="N10" s="36">
        <f>RANK(M10,$M$6:$M$27,0)</f>
        <v/>
      </c>
      <c r="O10" s="7" t="inlineStr">
        <is>
          <t>Подтверждение спроса на постапокалипсис</t>
        </is>
      </c>
    </row>
    <row r="11" ht="30" customHeight="1">
      <c r="A11" s="37" t="n">
        <v>6</v>
      </c>
      <c r="B11" s="38">
        <f>'04_Референсы'!B9</f>
        <v/>
      </c>
      <c r="C11" s="38">
        <f>'04_Референсы'!D9</f>
        <v/>
      </c>
      <c r="D11" s="39" t="n">
        <v>2</v>
      </c>
      <c r="E11" s="39" t="n">
        <v>2</v>
      </c>
      <c r="F11" s="39" t="n">
        <v>10</v>
      </c>
      <c r="G11" s="39" t="n">
        <v>10</v>
      </c>
      <c r="H11" s="39" t="n">
        <v>6</v>
      </c>
      <c r="I11" s="39" t="n">
        <v>8</v>
      </c>
      <c r="J11" s="39" t="n">
        <v>9</v>
      </c>
      <c r="K11" s="34">
        <f>SUMPRODUCT($D11:$J11,$D$4:$J$4)/SUM($D$4:$J$4)</f>
        <v/>
      </c>
      <c r="L11" s="39" t="n">
        <v>8</v>
      </c>
      <c r="M11" s="35">
        <f>$R$3*K11+$R$4*L11</f>
        <v/>
      </c>
      <c r="N11" s="40">
        <f>RANK(M11,$M$6:$M$27,0)</f>
        <v/>
      </c>
      <c r="O11" s="20" t="inlineStr">
        <is>
          <t>Референс мирного города-хаба</t>
        </is>
      </c>
    </row>
    <row r="12" ht="30" customHeight="1">
      <c r="A12" s="5" t="n">
        <v>7</v>
      </c>
      <c r="B12" s="32">
        <f>'04_Референсы'!B10</f>
        <v/>
      </c>
      <c r="C12" s="32">
        <f>'04_Референсы'!D10</f>
        <v/>
      </c>
      <c r="D12" s="33" t="n">
        <v>9</v>
      </c>
      <c r="E12" s="33" t="n">
        <v>7</v>
      </c>
      <c r="F12" s="33" t="n">
        <v>10</v>
      </c>
      <c r="G12" s="33" t="n">
        <v>10</v>
      </c>
      <c r="H12" s="33" t="n">
        <v>7</v>
      </c>
      <c r="I12" s="33" t="n">
        <v>7</v>
      </c>
      <c r="J12" s="33" t="n">
        <v>6</v>
      </c>
      <c r="K12" s="34">
        <f>SUMPRODUCT($D12:$J12,$D$4:$J$4)/SUM($D$4:$J$4)</f>
        <v/>
      </c>
      <c r="L12" s="33" t="n">
        <v>8</v>
      </c>
      <c r="M12" s="35">
        <f>$R$3*K12+$R$4*L12</f>
        <v/>
      </c>
      <c r="N12" s="36">
        <f>RANK(M12,$M$6:$M$27,0)</f>
        <v/>
      </c>
      <c r="O12" s="7" t="inlineStr">
        <is>
          <t>ГЛАВНЫЙ референс: геймплей + монетизация</t>
        </is>
      </c>
    </row>
    <row r="13" ht="30" customHeight="1">
      <c r="A13" s="37" t="n">
        <v>8</v>
      </c>
      <c r="B13" s="38">
        <f>'04_Референсы'!B11</f>
        <v/>
      </c>
      <c r="C13" s="38">
        <f>'04_Референсы'!D11</f>
        <v/>
      </c>
      <c r="D13" s="39" t="n">
        <v>9</v>
      </c>
      <c r="E13" s="39" t="n">
        <v>7</v>
      </c>
      <c r="F13" s="39" t="n">
        <v>10</v>
      </c>
      <c r="G13" s="39" t="n">
        <v>6</v>
      </c>
      <c r="H13" s="39" t="n">
        <v>6</v>
      </c>
      <c r="I13" s="39" t="n">
        <v>7</v>
      </c>
      <c r="J13" s="39" t="n">
        <v>5</v>
      </c>
      <c r="K13" s="34">
        <f>SUMPRODUCT($D13:$J13,$D$4:$J$4)/SUM($D$4:$J$4)</f>
        <v/>
      </c>
      <c r="L13" s="39" t="n">
        <v>6</v>
      </c>
      <c r="M13" s="35">
        <f>$R$3*K13+$R$4*L13</f>
        <v/>
      </c>
      <c r="N13" s="40">
        <f>RANK(M13,$M$6:$M$27,0)</f>
        <v/>
      </c>
      <c r="O13" s="20" t="inlineStr">
        <is>
          <t>Референс переноса каркаса в новый сеттинг</t>
        </is>
      </c>
    </row>
    <row r="14" ht="30" customHeight="1">
      <c r="A14" s="5" t="n">
        <v>9</v>
      </c>
      <c r="B14" s="32">
        <f>'04_Референсы'!B12</f>
        <v/>
      </c>
      <c r="C14" s="32">
        <f>'04_Референсы'!D12</f>
        <v/>
      </c>
      <c r="D14" s="33" t="n">
        <v>9</v>
      </c>
      <c r="E14" s="33" t="n">
        <v>7</v>
      </c>
      <c r="F14" s="33" t="n">
        <v>10</v>
      </c>
      <c r="G14" s="33" t="n">
        <v>10</v>
      </c>
      <c r="H14" s="33" t="n">
        <v>7</v>
      </c>
      <c r="I14" s="33" t="n">
        <v>7</v>
      </c>
      <c r="J14" s="33" t="n">
        <v>8</v>
      </c>
      <c r="K14" s="34">
        <f>SUMPRODUCT($D14:$J14,$D$4:$J$4)/SUM($D$4:$J$4)</f>
        <v/>
      </c>
      <c r="L14" s="33" t="n">
        <v>5</v>
      </c>
      <c r="M14" s="35">
        <f>$R$3*K14+$R$4*L14</f>
        <v/>
      </c>
      <c r="N14" s="36">
        <f>RANK(M14,$M$6:$M$27,0)</f>
        <v/>
      </c>
      <c r="O14" s="7" t="inlineStr">
        <is>
          <t>Референс фракций и NPC-квестов</t>
        </is>
      </c>
    </row>
    <row r="15" ht="30" customHeight="1">
      <c r="A15" s="37" t="n">
        <v>10</v>
      </c>
      <c r="B15" s="38">
        <f>'04_Референсы'!B13</f>
        <v/>
      </c>
      <c r="C15" s="38">
        <f>'04_Референсы'!D13</f>
        <v/>
      </c>
      <c r="D15" s="39" t="n">
        <v>9</v>
      </c>
      <c r="E15" s="39" t="n">
        <v>7</v>
      </c>
      <c r="F15" s="39" t="n">
        <v>10</v>
      </c>
      <c r="G15" s="39" t="n">
        <v>10</v>
      </c>
      <c r="H15" s="39" t="n">
        <v>6</v>
      </c>
      <c r="I15" s="39" t="n">
        <v>7</v>
      </c>
      <c r="J15" s="39" t="n">
        <v>6</v>
      </c>
      <c r="K15" s="34">
        <f>SUMPRODUCT($D15:$J15,$D$4:$J$4)/SUM($D$4:$J$4)</f>
        <v/>
      </c>
      <c r="L15" s="39" t="n">
        <v>4</v>
      </c>
      <c r="M15" s="35">
        <f>$R$3*K15+$R$4*L15</f>
        <v/>
      </c>
      <c r="N15" s="40">
        <f>RANK(M15,$M$6:$M$27,0)</f>
        <v/>
      </c>
      <c r="O15" s="20" t="inlineStr">
        <is>
          <t>Ориентир по нижней планке качества ниши</t>
        </is>
      </c>
    </row>
    <row r="16" ht="30" customHeight="1">
      <c r="A16" s="5" t="n">
        <v>11</v>
      </c>
      <c r="B16" s="32">
        <f>'04_Референсы'!B14</f>
        <v/>
      </c>
      <c r="C16" s="32">
        <f>'04_Референсы'!D14</f>
        <v/>
      </c>
      <c r="D16" s="33" t="n">
        <v>4</v>
      </c>
      <c r="E16" s="33" t="n">
        <v>9</v>
      </c>
      <c r="F16" s="33" t="n">
        <v>9</v>
      </c>
      <c r="G16" s="33" t="n">
        <v>10</v>
      </c>
      <c r="H16" s="33" t="n">
        <v>4</v>
      </c>
      <c r="I16" s="33" t="n">
        <v>8</v>
      </c>
      <c r="J16" s="33" t="n">
        <v>5</v>
      </c>
      <c r="K16" s="34">
        <f>SUMPRODUCT($D16:$J16,$D$4:$J$4)/SUM($D$4:$J$4)</f>
        <v/>
      </c>
      <c r="L16" s="33" t="n">
        <v>6</v>
      </c>
      <c r="M16" s="35">
        <f>$R$3*K16+$R$4*L16</f>
        <v/>
      </c>
      <c r="N16" s="36">
        <f>RANK(M16,$M$6:$M$27,0)</f>
        <v/>
      </c>
      <c r="O16" s="7" t="inlineStr">
        <is>
          <t>Референс 2D-подачи и мягкой монетизации</t>
        </is>
      </c>
    </row>
    <row r="17" ht="30" customHeight="1">
      <c r="A17" s="37" t="n">
        <v>12</v>
      </c>
      <c r="B17" s="38">
        <f>'04_Референсы'!B15</f>
        <v/>
      </c>
      <c r="C17" s="38">
        <f>'04_Референсы'!D15</f>
        <v/>
      </c>
      <c r="D17" s="39" t="n">
        <v>6</v>
      </c>
      <c r="E17" s="39" t="n">
        <v>8</v>
      </c>
      <c r="F17" s="39" t="n">
        <v>2</v>
      </c>
      <c r="G17" s="39" t="n">
        <v>10</v>
      </c>
      <c r="H17" s="39" t="n">
        <v>5</v>
      </c>
      <c r="I17" s="39" t="n">
        <v>7</v>
      </c>
      <c r="J17" s="39" t="n">
        <v>4</v>
      </c>
      <c r="K17" s="34">
        <f>SUMPRODUCT($D17:$J17,$D$4:$J$4)/SUM($D$4:$J$4)</f>
        <v/>
      </c>
      <c r="L17" s="39" t="n">
        <v>2</v>
      </c>
      <c r="M17" s="35">
        <f>$R$3*K17+$R$4*L17</f>
        <v/>
      </c>
      <c r="N17" s="40">
        <f>RANK(M17,$M$6:$M$27,0)</f>
        <v/>
      </c>
      <c r="O17" s="20" t="inlineStr">
        <is>
          <t>Референс атмосферы и менеджмента выживших</t>
        </is>
      </c>
    </row>
    <row r="18" ht="30" customHeight="1">
      <c r="A18" s="5" t="n">
        <v>13</v>
      </c>
      <c r="B18" s="32">
        <f>'04_Референсы'!B16</f>
        <v/>
      </c>
      <c r="C18" s="32">
        <f>'04_Референсы'!D16</f>
        <v/>
      </c>
      <c r="D18" s="33" t="n">
        <v>10</v>
      </c>
      <c r="E18" s="33" t="n">
        <v>9</v>
      </c>
      <c r="F18" s="33" t="n">
        <v>2</v>
      </c>
      <c r="G18" s="33" t="n">
        <v>10</v>
      </c>
      <c r="H18" s="33" t="n">
        <v>6</v>
      </c>
      <c r="I18" s="33" t="n">
        <v>6</v>
      </c>
      <c r="J18" s="33" t="n">
        <v>5</v>
      </c>
      <c r="K18" s="34">
        <f>SUMPRODUCT($D18:$J18,$D$4:$J$4)/SUM($D$4:$J$4)</f>
        <v/>
      </c>
      <c r="L18" s="33" t="n">
        <v>4</v>
      </c>
      <c r="M18" s="35">
        <f>$R$3*K18+$R$4*L18</f>
        <v/>
      </c>
      <c r="N18" s="36">
        <f>RANK(M18,$M$6:$M$27,0)</f>
        <v/>
      </c>
      <c r="O18" s="7" t="inlineStr">
        <is>
          <t>Референс лутинга и разрушаемости</t>
        </is>
      </c>
    </row>
    <row r="19" ht="30" customHeight="1">
      <c r="A19" s="37" t="n">
        <v>14</v>
      </c>
      <c r="B19" s="38">
        <f>'04_Референсы'!B17</f>
        <v/>
      </c>
      <c r="C19" s="38">
        <f>'04_Референсы'!D17</f>
        <v/>
      </c>
      <c r="D19" s="39" t="n">
        <v>10</v>
      </c>
      <c r="E19" s="39" t="n">
        <v>9</v>
      </c>
      <c r="F19" s="39" t="n">
        <v>2</v>
      </c>
      <c r="G19" s="39" t="n">
        <v>3</v>
      </c>
      <c r="H19" s="39" t="n">
        <v>7</v>
      </c>
      <c r="I19" s="39" t="n">
        <v>7</v>
      </c>
      <c r="J19" s="39" t="n">
        <v>10</v>
      </c>
      <c r="K19" s="34">
        <f>SUMPRODUCT($D19:$J19,$D$4:$J$4)/SUM($D$4:$J$4)</f>
        <v/>
      </c>
      <c r="L19" s="39" t="n">
        <v>7</v>
      </c>
      <c r="M19" s="35">
        <f>$R$3*K19+$R$4*L19</f>
        <v/>
      </c>
      <c r="N19" s="40">
        <f>RANK(M19,$M$6:$M$27,0)</f>
        <v/>
      </c>
      <c r="O19" s="20" t="inlineStr">
        <is>
          <t>Референс 2D-графики и города NPC</t>
        </is>
      </c>
    </row>
    <row r="20" ht="30" customHeight="1">
      <c r="A20" s="5" t="n">
        <v>15</v>
      </c>
      <c r="B20" s="32">
        <f>'04_Референсы'!B18</f>
        <v/>
      </c>
      <c r="C20" s="32">
        <f>'04_Референсы'!D18</f>
        <v/>
      </c>
      <c r="D20" s="33" t="n">
        <v>9</v>
      </c>
      <c r="E20" s="33" t="n">
        <v>8</v>
      </c>
      <c r="F20" s="33" t="n">
        <v>2</v>
      </c>
      <c r="G20" s="33" t="n">
        <v>9</v>
      </c>
      <c r="H20" s="33" t="n">
        <v>8</v>
      </c>
      <c r="I20" s="33" t="n">
        <v>6</v>
      </c>
      <c r="J20" s="33" t="n">
        <v>3</v>
      </c>
      <c r="K20" s="34">
        <f>SUMPRODUCT($D20:$J20,$D$4:$J$4)/SUM($D$4:$J$4)</f>
        <v/>
      </c>
      <c r="L20" s="33" t="n">
        <v>5</v>
      </c>
      <c r="M20" s="35">
        <f>$R$3*K20+$R$4*L20</f>
        <v/>
      </c>
      <c r="N20" s="36">
        <f>RANK(M20,$M$6:$M$27,0)</f>
        <v/>
      </c>
      <c r="O20" s="7" t="inlineStr">
        <is>
          <t>Референс симуляции и навыков</t>
        </is>
      </c>
    </row>
    <row r="21" ht="30" customHeight="1">
      <c r="A21" s="37" t="n">
        <v>16</v>
      </c>
      <c r="B21" s="38">
        <f>'04_Референсы'!B19</f>
        <v/>
      </c>
      <c r="C21" s="38">
        <f>'04_Референсы'!D19</f>
        <v/>
      </c>
      <c r="D21" s="39" t="n">
        <v>8</v>
      </c>
      <c r="E21" s="39" t="n">
        <v>7</v>
      </c>
      <c r="F21" s="39" t="n">
        <v>1</v>
      </c>
      <c r="G21" s="39" t="n">
        <v>6</v>
      </c>
      <c r="H21" s="39" t="n">
        <v>2</v>
      </c>
      <c r="I21" s="39" t="n">
        <v>10</v>
      </c>
      <c r="J21" s="39" t="n">
        <v>3</v>
      </c>
      <c r="K21" s="34">
        <f>SUMPRODUCT($D21:$J21,$D$4:$J$4)/SUM($D$4:$J$4)</f>
        <v/>
      </c>
      <c r="L21" s="39" t="n">
        <v>3</v>
      </c>
      <c r="M21" s="35">
        <f>$R$3*K21+$R$4*L21</f>
        <v/>
      </c>
      <c r="N21" s="40">
        <f>RANK(M21,$M$6:$M$27,0)</f>
        <v/>
      </c>
      <c r="O21" s="20" t="inlineStr">
        <is>
          <t>ГЛАВНЫЙ референс автоматизации</t>
        </is>
      </c>
    </row>
    <row r="22" ht="30" customHeight="1">
      <c r="A22" s="5" t="n">
        <v>17</v>
      </c>
      <c r="B22" s="32">
        <f>'04_Референсы'!B20</f>
        <v/>
      </c>
      <c r="C22" s="32">
        <f>'04_Референсы'!D20</f>
        <v/>
      </c>
      <c r="D22" s="33" t="n">
        <v>3</v>
      </c>
      <c r="E22" s="33" t="n">
        <v>8</v>
      </c>
      <c r="F22" s="33" t="n">
        <v>10</v>
      </c>
      <c r="G22" s="33" t="n">
        <v>6</v>
      </c>
      <c r="H22" s="33" t="n">
        <v>5</v>
      </c>
      <c r="I22" s="33" t="n">
        <v>10</v>
      </c>
      <c r="J22" s="33" t="n">
        <v>6</v>
      </c>
      <c r="K22" s="34">
        <f>SUMPRODUCT($D22:$J22,$D$4:$J$4)/SUM($D$4:$J$4)</f>
        <v/>
      </c>
      <c r="L22" s="33" t="n">
        <v>5</v>
      </c>
      <c r="M22" s="35">
        <f>$R$3*K22+$R$4*L22</f>
        <v/>
      </c>
      <c r="N22" s="36">
        <f>RANK(M22,$M$6:$M$27,0)</f>
        <v/>
      </c>
      <c r="O22" s="7" t="inlineStr">
        <is>
          <t>Референс монетизации автоматизации в F2P</t>
        </is>
      </c>
    </row>
    <row r="23" ht="30" customHeight="1">
      <c r="A23" s="37" t="n">
        <v>18</v>
      </c>
      <c r="B23" s="38">
        <f>'04_Референсы'!B21</f>
        <v/>
      </c>
      <c r="C23" s="38">
        <f>'04_Референсы'!D21</f>
        <v/>
      </c>
      <c r="D23" s="39" t="n">
        <v>10</v>
      </c>
      <c r="E23" s="39" t="n">
        <v>9</v>
      </c>
      <c r="F23" s="39" t="n">
        <v>2</v>
      </c>
      <c r="G23" s="39" t="n">
        <v>2</v>
      </c>
      <c r="H23" s="39" t="n">
        <v>9</v>
      </c>
      <c r="I23" s="39" t="n">
        <v>9</v>
      </c>
      <c r="J23" s="39" t="n">
        <v>5</v>
      </c>
      <c r="K23" s="34">
        <f>SUMPRODUCT($D23:$J23,$D$4:$J$4)/SUM($D$4:$J$4)</f>
        <v/>
      </c>
      <c r="L23" s="39" t="n">
        <v>4</v>
      </c>
      <c r="M23" s="35">
        <f>$R$3*K23+$R$4*L23</f>
        <v/>
      </c>
      <c r="N23" s="40">
        <f>RANK(M23,$M$6:$M$27,0)</f>
        <v/>
      </c>
      <c r="O23" s="20" t="inlineStr">
        <is>
          <t>Референс петли «собрал → построил → автоматизировал»</t>
        </is>
      </c>
    </row>
    <row r="24" ht="30" customHeight="1">
      <c r="A24" s="5" t="n">
        <v>19</v>
      </c>
      <c r="B24" s="32">
        <f>'04_Референсы'!B22</f>
        <v/>
      </c>
      <c r="C24" s="32">
        <f>'04_Референсы'!D22</f>
        <v/>
      </c>
      <c r="D24" s="33" t="n">
        <v>10</v>
      </c>
      <c r="E24" s="33" t="n">
        <v>10</v>
      </c>
      <c r="F24" s="33" t="n">
        <v>2</v>
      </c>
      <c r="G24" s="33" t="n">
        <v>1</v>
      </c>
      <c r="H24" s="33" t="n">
        <v>10</v>
      </c>
      <c r="I24" s="33" t="n">
        <v>8</v>
      </c>
      <c r="J24" s="33" t="n">
        <v>10</v>
      </c>
      <c r="K24" s="34">
        <f>SUMPRODUCT($D24:$J24,$D$4:$J$4)/SUM($D$4:$J$4)</f>
        <v/>
      </c>
      <c r="L24" s="33" t="n">
        <v>7</v>
      </c>
      <c r="M24" s="35">
        <f>$R$3*K24+$R$4*L24</f>
        <v/>
      </c>
      <c r="N24" s="36">
        <f>RANK(M24,$M$6:$M$27,0)</f>
        <v/>
      </c>
      <c r="O24" s="7" t="inlineStr">
        <is>
          <t>ГЛАВНЫЙ референс фермы и мирного города</t>
        </is>
      </c>
    </row>
    <row r="25" ht="30" customHeight="1">
      <c r="A25" s="37" t="n">
        <v>20</v>
      </c>
      <c r="B25" s="38">
        <f>'04_Референсы'!B23</f>
        <v/>
      </c>
      <c r="C25" s="38">
        <f>'04_Референсы'!D23</f>
        <v/>
      </c>
      <c r="D25" s="39" t="n">
        <v>10</v>
      </c>
      <c r="E25" s="39" t="n">
        <v>9</v>
      </c>
      <c r="F25" s="39" t="n">
        <v>2</v>
      </c>
      <c r="G25" s="39" t="n">
        <v>4</v>
      </c>
      <c r="H25" s="39" t="n">
        <v>9</v>
      </c>
      <c r="I25" s="39" t="n">
        <v>9</v>
      </c>
      <c r="J25" s="39" t="n">
        <v>6</v>
      </c>
      <c r="K25" s="34">
        <f>SUMPRODUCT($D25:$J25,$D$4:$J$4)/SUM($D$4:$J$4)</f>
        <v/>
      </c>
      <c r="L25" s="39" t="n">
        <v>5</v>
      </c>
      <c r="M25" s="35">
        <f>$R$3*K25+$R$4*L25</f>
        <v/>
      </c>
      <c r="N25" s="40">
        <f>RANK(M25,$M$6:$M$27,0)</f>
        <v/>
      </c>
      <c r="O25" s="20" t="inlineStr">
        <is>
          <t>Референс кооперативной базы</t>
        </is>
      </c>
    </row>
    <row r="26" ht="30" customHeight="1">
      <c r="A26" s="5" t="n">
        <v>21</v>
      </c>
      <c r="B26" s="32">
        <f>'04_Референсы'!B24</f>
        <v/>
      </c>
      <c r="C26" s="32">
        <f>'04_Референсы'!D24</f>
        <v/>
      </c>
      <c r="D26" s="33" t="n">
        <v>9</v>
      </c>
      <c r="E26" s="33" t="n">
        <v>8</v>
      </c>
      <c r="F26" s="33" t="n">
        <v>9</v>
      </c>
      <c r="G26" s="33" t="n">
        <v>1</v>
      </c>
      <c r="H26" s="33" t="n">
        <v>10</v>
      </c>
      <c r="I26" s="33" t="n">
        <v>6</v>
      </c>
      <c r="J26" s="33" t="n">
        <v>9</v>
      </c>
      <c r="K26" s="34">
        <f>SUMPRODUCT($D26:$J26,$D$4:$J$4)/SUM($D$4:$J$4)</f>
        <v/>
      </c>
      <c r="L26" s="33" t="n">
        <v>5</v>
      </c>
      <c r="M26" s="35">
        <f>$R$3*K26+$R$4*L26</f>
        <v/>
      </c>
      <c r="N26" s="36">
        <f>RANK(M26,$M$6:$M$27,0)</f>
        <v/>
      </c>
      <c r="O26" s="7" t="inlineStr">
        <is>
          <t>Референс F2P-фермы в 2D</t>
        </is>
      </c>
    </row>
    <row r="27" ht="30" customHeight="1">
      <c r="A27" s="37" t="n">
        <v>22</v>
      </c>
      <c r="B27" s="38">
        <f>'04_Референсы'!B25</f>
        <v/>
      </c>
      <c r="C27" s="38">
        <f>'04_Референсы'!D25</f>
        <v/>
      </c>
      <c r="D27" s="39" t="n">
        <v>9</v>
      </c>
      <c r="E27" s="39" t="n">
        <v>8</v>
      </c>
      <c r="F27" s="39" t="n">
        <v>10</v>
      </c>
      <c r="G27" s="39" t="n">
        <v>7</v>
      </c>
      <c r="H27" s="39" t="n">
        <v>0</v>
      </c>
      <c r="I27" s="39" t="n">
        <v>1</v>
      </c>
      <c r="J27" s="39" t="n">
        <v>3</v>
      </c>
      <c r="K27" s="34">
        <f>SUMPRODUCT($D27:$J27,$D$4:$J$4)/SUM($D$4:$J$4)</f>
        <v/>
      </c>
      <c r="L27" s="39" t="n">
        <v>8</v>
      </c>
      <c r="M27" s="35">
        <f>$R$3*K27+$R$4*L27</f>
        <v/>
      </c>
      <c r="N27" s="40">
        <f>RANK(M27,$M$6:$M$27,0)</f>
        <v/>
      </c>
      <c r="O27" s="20" t="inlineStr">
        <is>
          <t>ГЛАВНЫЙ референс управления и вирусности</t>
        </is>
      </c>
    </row>
    <row r="29">
      <c r="B29" s="41" t="inlineStr">
        <is>
          <t>СВОДКА ПО КАТЕГОРИЯМ</t>
        </is>
      </c>
    </row>
    <row r="30">
      <c r="B30" s="4" t="inlineStr">
        <is>
          <t>Категория</t>
        </is>
      </c>
      <c r="C30" s="4" t="inlineStr">
        <is>
          <t>Кол-во игр</t>
        </is>
      </c>
      <c r="D30" s="4" t="inlineStr">
        <is>
          <t>Средн. соответствие</t>
        </is>
      </c>
      <c r="E30" s="4" t="inlineStr">
        <is>
          <t>Средн. приоритет</t>
        </is>
      </c>
      <c r="F30" s="4" t="inlineStr">
        <is>
          <t>Максимум приоритета</t>
        </is>
      </c>
    </row>
    <row r="31">
      <c r="B31" s="42" t="inlineStr">
        <is>
          <t>A. Топ-грос 4X-выживание</t>
        </is>
      </c>
      <c r="C31" s="42">
        <f>COUNTIF($C$6:$C$27,$B31)</f>
        <v/>
      </c>
      <c r="D31" s="43">
        <f>IFERROR(AVERAGEIF($C$6:$C$27,$B31,$K$6:$K$27),"")</f>
        <v/>
      </c>
      <c r="E31" s="44">
        <f>IFERROR(AVERAGEIF($C$6:$C$27,$B31,$M$6:$M$27),"")</f>
        <v/>
      </c>
      <c r="F31" s="44">
        <f>SUMPRODUCT(MAX(($C$6:$C$27=$B31)*$M$6:$M$27))</f>
        <v/>
      </c>
    </row>
    <row r="32">
      <c r="B32" s="42" t="inlineStr">
        <is>
          <t>B. F2P выживание-крафт</t>
        </is>
      </c>
      <c r="C32" s="42">
        <f>COUNTIF($C$6:$C$27,$B32)</f>
        <v/>
      </c>
      <c r="D32" s="43">
        <f>IFERROR(AVERAGEIF($C$6:$C$27,$B32,$K$6:$K$27),"")</f>
        <v/>
      </c>
      <c r="E32" s="44">
        <f>IFERROR(AVERAGEIF($C$6:$C$27,$B32,$M$6:$M$27),"")</f>
        <v/>
      </c>
      <c r="F32" s="44">
        <f>SUMPRODUCT(MAX(($C$6:$C$27=$B32)*$M$6:$M$27))</f>
        <v/>
      </c>
    </row>
    <row r="33">
      <c r="B33" s="42" t="inlineStr">
        <is>
          <t>F. 2D-строительство базы</t>
        </is>
      </c>
      <c r="C33" s="42">
        <f>COUNTIF($C$6:$C$27,$B33)</f>
        <v/>
      </c>
      <c r="D33" s="43">
        <f>IFERROR(AVERAGEIF($C$6:$C$27,$B33,$K$6:$K$27),"")</f>
        <v/>
      </c>
      <c r="E33" s="44">
        <f>IFERROR(AVERAGEIF($C$6:$C$27,$B33,$M$6:$M$27),"")</f>
        <v/>
      </c>
      <c r="F33" s="44">
        <f>SUMPRODUCT(MAX(($C$6:$C$27=$B33)*$M$6:$M$27))</f>
        <v/>
      </c>
    </row>
    <row r="34">
      <c r="B34" s="42" t="inlineStr">
        <is>
          <t>C. 2D премиум выживание</t>
        </is>
      </c>
      <c r="C34" s="42">
        <f>COUNTIF($C$6:$C$27,$B34)</f>
        <v/>
      </c>
      <c r="D34" s="43">
        <f>IFERROR(AVERAGEIF($C$6:$C$27,$B34,$K$6:$K$27),"")</f>
        <v/>
      </c>
      <c r="E34" s="44">
        <f>IFERROR(AVERAGEIF($C$6:$C$27,$B34,$M$6:$M$27),"")</f>
        <v/>
      </c>
      <c r="F34" s="44">
        <f>SUMPRODUCT(MAX(($C$6:$C$27=$B34)*$M$6:$M$27))</f>
        <v/>
      </c>
    </row>
    <row r="35">
      <c r="B35" s="42" t="inlineStr">
        <is>
          <t>D. 2D автоматизация</t>
        </is>
      </c>
      <c r="C35" s="42">
        <f>COUNTIF($C$6:$C$27,$B35)</f>
        <v/>
      </c>
      <c r="D35" s="43">
        <f>IFERROR(AVERAGEIF($C$6:$C$27,$B35,$K$6:$K$27),"")</f>
        <v/>
      </c>
      <c r="E35" s="44">
        <f>IFERROR(AVERAGEIF($C$6:$C$27,$B35,$M$6:$M$27),"")</f>
        <v/>
      </c>
      <c r="F35" s="44">
        <f>SUMPRODUCT(MAX(($C$6:$C$27=$B35)*$M$6:$M$27))</f>
        <v/>
      </c>
    </row>
    <row r="36">
      <c r="B36" s="42" t="inlineStr">
        <is>
          <t>E. 2D-экшн F2P</t>
        </is>
      </c>
      <c r="C36" s="42">
        <f>COUNTIF($C$6:$C$27,$B36)</f>
        <v/>
      </c>
      <c r="D36" s="43">
        <f>IFERROR(AVERAGEIF($C$6:$C$27,$B36,$K$6:$K$27),"")</f>
        <v/>
      </c>
      <c r="E36" s="44">
        <f>IFERROR(AVERAGEIF($C$6:$C$27,$B36,$M$6:$M$27),"")</f>
        <v/>
      </c>
      <c r="F36" s="44">
        <f>SUMPRODUCT(MAX(($C$6:$C$27=$B36)*$M$6:$M$27))</f>
        <v/>
      </c>
    </row>
    <row r="38">
      <c r="B38" s="17" t="inlineStr">
        <is>
          <t>Как считается: «Соответствие концепту» = взвешенная сумма 7 критериев / сумма весов (веса — жёлтая строка 4). «Итоговый приоритет» = 60% соответствия + 40% коммерческого успеха (веса — жёлтые ячейки R3:R4).</t>
        </is>
      </c>
    </row>
    <row r="39">
      <c r="B39" s="17" t="inlineStr">
        <is>
          <t>Оценки 0–10 выставлены экспертно по механике игр (синий шрифт — исходные значения, их можно править). Коммерческий успех оценён по данным листов 02–04.</t>
        </is>
      </c>
    </row>
  </sheetData>
  <mergeCells count="2">
    <mergeCell ref="A1:O1"/>
    <mergeCell ref="A2:O2"/>
  </mergeCells>
  <conditionalFormatting sqref="K6:K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:M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:J27">
    <cfRule type="colorScale" priority="3">
      <colorScale>
        <cfvo type="num" val="0"/>
        <cfvo type="num" val="10"/>
        <color rgb="00FFFFFF"/>
        <color rgb="009BC2E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30" customWidth="1" min="3" max="3"/>
    <col width="96" customWidth="1" min="4" max="4"/>
  </cols>
  <sheetData>
    <row r="1" ht="30" customHeight="1">
      <c r="A1" s="1" t="inlineStr">
        <is>
          <t>Источники данных</t>
        </is>
      </c>
    </row>
    <row r="2" ht="26" customHeight="1">
      <c r="A2" s="2" t="inlineStr">
        <is>
          <t>Все ссылки проверены 03.08.2026. Данные по выручке — оценки аналитических компаний, официальную отчётность издатели не раскрывают.</t>
        </is>
      </c>
    </row>
    <row r="3" ht="26" customHeight="1">
      <c r="A3" s="4" t="inlineStr">
        <is>
          <t>№</t>
        </is>
      </c>
      <c r="B3" s="4" t="inlineStr">
        <is>
          <t>Что взято</t>
        </is>
      </c>
      <c r="C3" s="4" t="inlineStr">
        <is>
          <t>Источник</t>
        </is>
      </c>
      <c r="D3" s="4" t="inlineStr">
        <is>
          <t>Ссылка</t>
        </is>
      </c>
    </row>
    <row r="4" ht="28" customHeight="1">
      <c r="A4" s="5" t="n">
        <v>1</v>
      </c>
      <c r="B4" s="7" t="inlineStr">
        <is>
          <t>Топ-10 игр мира по выручке 2026 (H1), помесячные оценки</t>
        </is>
      </c>
      <c r="C4" s="5" t="inlineStr">
        <is>
          <t>mobilegamer.biz</t>
        </is>
      </c>
      <c r="D4" s="45" t="inlineStr">
        <is>
          <t>https://mobilegamer.biz/2026s-top-10-grossing-mobile-games-so-far-honor-of-kings-whiteout-survival-lastwar-royal-match-pubg-mobile-more/</t>
        </is>
      </c>
    </row>
    <row r="5" ht="28" customHeight="1">
      <c r="A5" s="5" t="n">
        <v>2</v>
      </c>
      <c r="B5" s="7" t="inlineStr">
        <is>
          <t>Топ-10 по выручке и загрузкам, июнь 2026</t>
        </is>
      </c>
      <c r="C5" s="5" t="inlineStr">
        <is>
          <t>Sensor Tower</t>
        </is>
      </c>
      <c r="D5" s="45" t="inlineStr">
        <is>
          <t>https://sensortower.com/blog/top-10-worldwide-mobile-games-by-revenue-and-downloads-in-june-2026</t>
        </is>
      </c>
    </row>
    <row r="6" ht="28" customHeight="1">
      <c r="A6" s="5" t="n">
        <v>3</v>
      </c>
      <c r="B6" s="7" t="inlineStr">
        <is>
          <t>Топ-10 по выручке и загрузкам, январь 2026</t>
        </is>
      </c>
      <c r="C6" s="5" t="inlineStr">
        <is>
          <t>Sensor Tower</t>
        </is>
      </c>
      <c r="D6" s="45" t="inlineStr">
        <is>
          <t>https://sensortower.com/blog/top-10-worldwide-mobile-games-by-revenue-and-downloads-in-january-2026</t>
        </is>
      </c>
    </row>
    <row r="7" ht="28" customHeight="1">
      <c r="A7" s="5" t="n">
        <v>4</v>
      </c>
      <c r="B7" s="7" t="inlineStr">
        <is>
          <t>Прогноз $53 млрд для топ-100 игр в 2026</t>
        </is>
      </c>
      <c r="C7" s="5" t="inlineStr">
        <is>
          <t>Sensor Tower / Digital Today</t>
        </is>
      </c>
      <c r="D7" s="45" t="inlineStr">
        <is>
          <t>https://www.digitaltoday.co.kr/en/view/55387/sensortower-top-100-mobile-games-forecast-53-billion-dollars-revenue-this-year</t>
        </is>
      </c>
    </row>
    <row r="8" ht="28" customHeight="1">
      <c r="A8" s="5" t="n">
        <v>5</v>
      </c>
      <c r="B8" s="7" t="inlineStr">
        <is>
          <t>Whiteout Survival: $3 млрд за 2,5 года</t>
        </is>
      </c>
      <c r="C8" s="5" t="inlineStr">
        <is>
          <t>PocketGamer.biz</t>
        </is>
      </c>
      <c r="D8" s="45" t="inlineStr">
        <is>
          <t>https://www.pocketgamer.biz/whiteout-survival-hits-3bn-in-player-spending-in-under-25-years/</t>
        </is>
      </c>
    </row>
    <row r="9" ht="28" customHeight="1">
      <c r="A9" s="5" t="n">
        <v>6</v>
      </c>
      <c r="B9" s="7" t="inlineStr">
        <is>
          <t>Whiteout Survival: статистика выручки и аудитории</t>
        </is>
      </c>
      <c r="C9" s="5" t="inlineStr">
        <is>
          <t>Udonis</t>
        </is>
      </c>
      <c r="D9" s="45" t="inlineStr">
        <is>
          <t>https://www.blog.udonis.co/statistics/whiteout-survival</t>
        </is>
      </c>
    </row>
    <row r="10" ht="28" customHeight="1">
      <c r="A10" s="5" t="n">
        <v>7</v>
      </c>
      <c r="B10" s="7" t="inlineStr">
        <is>
          <t>Kingshot: $500 млн за 11 месяцев, $811,9 млн за 12 месяцев, 42 млн загрузок</t>
        </is>
      </c>
      <c r="C10" s="5" t="inlineStr">
        <is>
          <t>Appfigures</t>
        </is>
      </c>
      <c r="D10" s="45" t="inlineStr">
        <is>
          <t>https://appfigures.com/resources/insights/kingshot-500m-revenue-century-games</t>
        </is>
      </c>
    </row>
    <row r="11" ht="28" customHeight="1">
      <c r="A11" s="5" t="n">
        <v>8</v>
      </c>
      <c r="B11" s="7" t="inlineStr">
        <is>
          <t>Kingshot обгоняет Whiteout Survival по загрузкам</t>
        </is>
      </c>
      <c r="C11" s="5" t="inlineStr">
        <is>
          <t>mobilegamer.biz</t>
        </is>
      </c>
      <c r="D11" s="45" t="inlineStr">
        <is>
          <t>https://mobilegamer.biz/data-digest-kingshot-outpaces-whiteout-survival-female-players-overlooked-casual-market-flat-januarys-top-titles-more/</t>
        </is>
      </c>
    </row>
    <row r="12" ht="28" customHeight="1">
      <c r="A12" s="5" t="n">
        <v>9</v>
      </c>
      <c r="B12" s="7" t="inlineStr">
        <is>
          <t>State of Survival: $1,69 млрд lifetime, $63 млн за 2025</t>
        </is>
      </c>
      <c r="C12" s="5" t="inlineStr">
        <is>
          <t>Udonis</t>
        </is>
      </c>
      <c r="D12" s="45" t="inlineStr">
        <is>
          <t>https://www.blog.udonis.co/statistics/state-of-survival</t>
        </is>
      </c>
    </row>
    <row r="13" ht="28" customHeight="1">
      <c r="A13" s="5" t="n">
        <v>10</v>
      </c>
      <c r="B13" s="7" t="inlineStr">
        <is>
          <t>Doomsday: Last Survivors — рекорд HK$130 млн/мес, HK$1,14 млрд за год</t>
        </is>
      </c>
      <c r="C13" s="5" t="inlineStr">
        <is>
          <t>IGG / TradingView News</t>
        </is>
      </c>
      <c r="D13" s="45" t="inlineStr">
        <is>
          <t>https://www.tradingview.com/news/reuters.com,2026-03-25:newsml_ACN105845:0-igg-doomsday-last-survivors-achieves-record-high-monthly-gross-billing-of-hk-130-million/</t>
        </is>
      </c>
    </row>
    <row r="14" ht="28" customHeight="1">
      <c r="A14" s="5" t="n">
        <v>11</v>
      </c>
      <c r="B14" s="7" t="inlineStr">
        <is>
          <t>LifeAfter: $125 млн выручки, 97% — Китай</t>
        </is>
      </c>
      <c r="C14" s="5" t="inlineStr">
        <is>
          <t>Sensor Tower</t>
        </is>
      </c>
      <c r="D14" s="45" t="inlineStr">
        <is>
          <t>https://sensortower.com/blog/lifeafter-revenue</t>
        </is>
      </c>
    </row>
    <row r="15" ht="28" customHeight="1">
      <c r="A15" s="5" t="n">
        <v>12</v>
      </c>
      <c r="B15" s="7" t="inlineStr">
        <is>
          <t>Survivor.io: $476 млн lifetime, доля в выручке Habby</t>
        </is>
      </c>
      <c r="C15" s="5" t="inlineStr">
        <is>
          <t>mobilegamer.biz</t>
        </is>
      </c>
      <c r="D15" s="45" t="inlineStr">
        <is>
          <t>https://mobilegamer.biz/data-digest-savvys-moonton-swoop-liftoff-kills-ipo-habby-hits-2bn-fallout-shelter-more/</t>
        </is>
      </c>
    </row>
    <row r="16" ht="28" customHeight="1">
      <c r="A16" s="5" t="n">
        <v>13</v>
      </c>
      <c r="B16" s="7" t="inlineStr">
        <is>
          <t>Survivor.io: 37 млн загрузок и $75 млн за первые 2 месяца</t>
        </is>
      </c>
      <c r="C16" s="5" t="inlineStr">
        <is>
          <t>mobilegamer.biz</t>
        </is>
      </c>
      <c r="D16" s="45" t="inlineStr">
        <is>
          <t>https://mobilegamer.biz/two-months-in-survivor-io-passes-75m-from-37m-downloads/</t>
        </is>
      </c>
    </row>
    <row r="17" ht="28" customHeight="1">
      <c r="A17" s="5" t="n">
        <v>14</v>
      </c>
      <c r="B17" s="7" t="inlineStr">
        <is>
          <t>Fallout Shelter: &gt; $90 млн lifetime, 100 млн+ загрузок</t>
        </is>
      </c>
      <c r="C17" s="5" t="inlineStr">
        <is>
          <t>Game Developer / Sensor Tower</t>
        </is>
      </c>
      <c r="D17" s="45" t="inlineStr">
        <is>
          <t>https://www.gamedeveloper.com/business/-i-fallout-shelter-i-surpasses-90m-in-lifetime-mobile-revenue</t>
        </is>
      </c>
    </row>
    <row r="18" ht="28" customHeight="1">
      <c r="A18" s="5" t="n">
        <v>15</v>
      </c>
      <c r="B18" s="7" t="inlineStr">
        <is>
          <t>Terraria: $36 млн на мобильных, 4,6 млн копий</t>
        </is>
      </c>
      <c r="C18" s="5" t="inlineStr">
        <is>
          <t>Udonis</t>
        </is>
      </c>
      <c r="D18" s="45" t="inlineStr">
        <is>
          <t>https://www.blog.udonis.co/mobile-marketing/mobile-games/terraria</t>
        </is>
      </c>
    </row>
    <row r="19" ht="28" customHeight="1">
      <c r="A19" s="5" t="n">
        <v>16</v>
      </c>
      <c r="B19" s="7" t="inlineStr">
        <is>
          <t>Stardew Valley: &gt; $1 млн за первые недели на iOS</t>
        </is>
      </c>
      <c r="C19" s="5" t="inlineStr">
        <is>
          <t>Notebookcheck</t>
        </is>
      </c>
      <c r="D19" s="45" t="inlineStr">
        <is>
          <t>https://www.notebookcheck.net/Stardew-Valley-raked-in-over-1-million-in-its-first-month-on-iOS.366871.0.html</t>
        </is>
      </c>
    </row>
    <row r="20" ht="28" customHeight="1">
      <c r="A20" s="5" t="n">
        <v>17</v>
      </c>
      <c r="B20" s="7" t="inlineStr">
        <is>
          <t>Mindustry: оценка выручки в Steam, описание механик</t>
        </is>
      </c>
      <c r="C20" s="5" t="inlineStr">
        <is>
          <t>Steam Marketing Tool / Pocket Gamer</t>
        </is>
      </c>
      <c r="D20" s="45" t="inlineStr">
        <is>
          <t>https://games-stats.com/steam/game/mindustry/</t>
        </is>
      </c>
    </row>
    <row r="21" ht="28" customHeight="1">
      <c r="A21" s="5" t="n">
        <v>18</v>
      </c>
      <c r="B21" s="7" t="inlineStr">
        <is>
          <t>Deep Town: механики автоматизации, дроны, теплица</t>
        </is>
      </c>
      <c r="C21" s="5" t="inlineStr">
        <is>
          <t>Google Play</t>
        </is>
      </c>
      <c r="D21" s="45" t="inlineStr">
        <is>
          <t>https://play.google.com/store/apps/details?id=com.rockbite.deeptown</t>
        </is>
      </c>
    </row>
    <row r="22" ht="28" customHeight="1">
      <c r="A22" s="5" t="n">
        <v>19</v>
      </c>
      <c r="B22" s="7" t="inlineStr">
        <is>
          <t>Dawn of Zombies (≈14 млн) и Days After (≈18 млн) — загрузки</t>
        </is>
      </c>
      <c r="C22" s="5" t="inlineStr">
        <is>
          <t>AppBrain</t>
        </is>
      </c>
      <c r="D22" s="45" t="inlineStr">
        <is>
          <t>https://www.appbrain.com/app/dawn-of-zombies-survival-game/com.survival.last</t>
        </is>
      </c>
    </row>
    <row r="23" ht="28" customHeight="1">
      <c r="A23" s="5" t="n">
        <v>20</v>
      </c>
      <c r="B23" s="7" t="inlineStr">
        <is>
          <t>Last Day on Earth: страница и live-ops издателя</t>
        </is>
      </c>
      <c r="C23" s="5" t="inlineStr">
        <is>
          <t>Kefir Games</t>
        </is>
      </c>
      <c r="D23" s="45" t="inlineStr">
        <is>
          <t>https://kefirgames.com/games/last-day-on-earth</t>
        </is>
      </c>
    </row>
    <row r="24" ht="28" customHeight="1">
      <c r="A24" s="5" t="n">
        <v>21</v>
      </c>
      <c r="B24" s="7" t="inlineStr">
        <is>
          <t>Самые скачиваемые игры 2026: Block Blast, Free Fire, Subway Surfers</t>
        </is>
      </c>
      <c r="C24" s="5" t="inlineStr">
        <is>
          <t>Udonis</t>
        </is>
      </c>
      <c r="D24" s="45" t="inlineStr">
        <is>
          <t>https://www.blog.udonis.co/mobile-marketing/mobile-games/most-downloaded-mobile-games</t>
        </is>
      </c>
    </row>
    <row r="25" ht="28" customHeight="1">
      <c r="A25" s="5" t="n">
        <v>22</v>
      </c>
      <c r="B25" s="7" t="inlineStr">
        <is>
          <t>Тренды 2026: hybrid-casual +37%, подписки +28% г/г</t>
        </is>
      </c>
      <c r="C25" s="5" t="inlineStr">
        <is>
          <t>Deconstructor of Fun / GGA</t>
        </is>
      </c>
      <c r="D25" s="45" t="inlineStr">
        <is>
          <t>https://www.deconstructoroffun.com/blog/2026/2/2/state-of-mobile-2026</t>
        </is>
      </c>
    </row>
    <row r="26" ht="28" customHeight="1">
      <c r="A26" s="5" t="n">
        <v>23</v>
      </c>
      <c r="B26" s="7" t="inlineStr">
        <is>
          <t>83% топ-игр используют 5–7 механик монетизации; выручка по жанрам</t>
        </is>
      </c>
      <c r="C26" s="5" t="inlineStr">
        <is>
          <t>Singular / Tekrevol</t>
        </is>
      </c>
      <c r="D26" s="45" t="inlineStr">
        <is>
          <t>https://www.singular.net/blog/top-mobile-games/</t>
        </is>
      </c>
    </row>
    <row r="27" ht="28" customHeight="1">
      <c r="A27" s="5" t="n">
        <v>24</v>
      </c>
      <c r="B27" s="7" t="inlineStr">
        <is>
          <t>Обзор 2D пиксельных выживалок 2026 (Terraria, Core Keeper, Project Zomboid mobile)</t>
        </is>
      </c>
      <c r="C27" s="5" t="inlineStr">
        <is>
          <t>Beatcop / Mobi.gg</t>
        </is>
      </c>
      <c r="D27" s="45" t="inlineStr">
        <is>
          <t>https://mobi.gg/en/tops/top-17-best-survival-games-mobile-android-ios/</t>
        </is>
      </c>
    </row>
  </sheetData>
  <mergeCells count="2">
    <mergeCell ref="A1:D1"/>
    <mergeCell ref="A2:D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2026-08-03T15:28:12Z</dcterms:created>
  <dcterms:modified xsi:type="dcterms:W3CDTF">2026-08-03T15:28:12Z</dcterms:modified>
</cp:coreProperties>
</file>